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nataschaleisi/Desktop/"/>
    </mc:Choice>
  </mc:AlternateContent>
  <xr:revisionPtr revIDLastSave="0" documentId="13_ncr:1_{E5D18F27-3467-BB44-AFB6-36F92019F8E1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feuille juge" sheetId="3" r:id="rId1"/>
  </sheets>
  <definedNames>
    <definedName name="_xlnm.Print_Area" localSheetId="0">'feuille juge'!$A$1:$T$85</definedName>
    <definedName name="_xlnm.Print_Titles" localSheetId="0">'feuille juge'!#REF!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5" i="3" l="1"/>
  <c r="U85" i="3" s="1"/>
  <c r="S84" i="3"/>
  <c r="U84" i="3" s="1"/>
  <c r="S83" i="3"/>
  <c r="U83" i="3" s="1"/>
  <c r="S82" i="3"/>
  <c r="U82" i="3" s="1"/>
  <c r="S81" i="3"/>
  <c r="U81" i="3" s="1"/>
  <c r="S80" i="3"/>
  <c r="U80" i="3" s="1"/>
  <c r="S79" i="3"/>
  <c r="U79" i="3" s="1"/>
  <c r="S78" i="3"/>
  <c r="U78" i="3" s="1"/>
  <c r="S77" i="3"/>
  <c r="U77" i="3" s="1"/>
  <c r="S76" i="3"/>
  <c r="U76" i="3" s="1"/>
  <c r="S75" i="3"/>
  <c r="U75" i="3" s="1"/>
  <c r="S74" i="3"/>
  <c r="U74" i="3" s="1"/>
  <c r="S73" i="3"/>
  <c r="U73" i="3" s="1"/>
  <c r="S72" i="3"/>
  <c r="U72" i="3" s="1"/>
  <c r="S71" i="3"/>
  <c r="U71" i="3" s="1"/>
  <c r="S70" i="3"/>
  <c r="U70" i="3" s="1"/>
  <c r="S69" i="3"/>
  <c r="U69" i="3" s="1"/>
  <c r="S68" i="3"/>
  <c r="U68" i="3" s="1"/>
  <c r="S67" i="3"/>
  <c r="U67" i="3" s="1"/>
  <c r="S66" i="3"/>
  <c r="U66" i="3" s="1"/>
  <c r="S65" i="3"/>
  <c r="U65" i="3" s="1"/>
  <c r="S64" i="3"/>
  <c r="U64" i="3" s="1"/>
  <c r="S63" i="3"/>
  <c r="U63" i="3" s="1"/>
  <c r="S62" i="3"/>
  <c r="U62" i="3" s="1"/>
  <c r="S61" i="3"/>
  <c r="U61" i="3" s="1"/>
  <c r="L61" i="3"/>
  <c r="L63" i="3" s="1"/>
  <c r="S60" i="3"/>
  <c r="U60" i="3" s="1"/>
  <c r="L60" i="3"/>
  <c r="K60" i="3" s="1"/>
  <c r="S59" i="3"/>
  <c r="U59" i="3" s="1"/>
  <c r="K59" i="3"/>
  <c r="S55" i="3"/>
  <c r="U55" i="3" s="1"/>
  <c r="S54" i="3"/>
  <c r="U54" i="3" s="1"/>
  <c r="S53" i="3"/>
  <c r="U53" i="3" s="1"/>
  <c r="S52" i="3"/>
  <c r="U52" i="3" s="1"/>
  <c r="S51" i="3"/>
  <c r="U51" i="3" s="1"/>
  <c r="S50" i="3"/>
  <c r="U50" i="3" s="1"/>
  <c r="S49" i="3"/>
  <c r="U49" i="3" s="1"/>
  <c r="S48" i="3"/>
  <c r="U48" i="3" s="1"/>
  <c r="S47" i="3"/>
  <c r="U47" i="3" s="1"/>
  <c r="S46" i="3"/>
  <c r="U46" i="3" s="1"/>
  <c r="S45" i="3"/>
  <c r="U45" i="3" s="1"/>
  <c r="S44" i="3"/>
  <c r="U44" i="3" s="1"/>
  <c r="S43" i="3"/>
  <c r="U43" i="3" s="1"/>
  <c r="S42" i="3"/>
  <c r="U42" i="3" s="1"/>
  <c r="S41" i="3"/>
  <c r="U41" i="3" s="1"/>
  <c r="S40" i="3"/>
  <c r="U40" i="3" s="1"/>
  <c r="S39" i="3"/>
  <c r="U39" i="3" s="1"/>
  <c r="S38" i="3"/>
  <c r="U38" i="3" s="1"/>
  <c r="S37" i="3"/>
  <c r="U37" i="3" s="1"/>
  <c r="S36" i="3"/>
  <c r="U36" i="3" s="1"/>
  <c r="S35" i="3"/>
  <c r="U35" i="3" s="1"/>
  <c r="S34" i="3"/>
  <c r="U34" i="3" s="1"/>
  <c r="S33" i="3"/>
  <c r="U33" i="3" s="1"/>
  <c r="S32" i="3"/>
  <c r="U32" i="3" s="1"/>
  <c r="S31" i="3"/>
  <c r="U31" i="3" s="1"/>
  <c r="S30" i="3"/>
  <c r="U30" i="3" s="1"/>
  <c r="S29" i="3"/>
  <c r="U29" i="3" s="1"/>
  <c r="S28" i="3"/>
  <c r="U28" i="3" s="1"/>
  <c r="S27" i="3"/>
  <c r="U27" i="3" s="1"/>
  <c r="S26" i="3"/>
  <c r="U26" i="3" s="1"/>
  <c r="S25" i="3"/>
  <c r="U25" i="3" s="1"/>
  <c r="L25" i="3"/>
  <c r="L27" i="3" s="1"/>
  <c r="S24" i="3"/>
  <c r="U24" i="3" s="1"/>
  <c r="L24" i="3"/>
  <c r="K24" i="3" s="1"/>
  <c r="S23" i="3"/>
  <c r="U23" i="3" s="1"/>
  <c r="K23" i="3"/>
  <c r="T18" i="3"/>
  <c r="S18" i="3"/>
  <c r="T17" i="3"/>
  <c r="S17" i="3"/>
  <c r="T16" i="3"/>
  <c r="S16" i="3"/>
  <c r="T15" i="3"/>
  <c r="S15" i="3"/>
  <c r="T14" i="3"/>
  <c r="S14" i="3"/>
  <c r="T13" i="3"/>
  <c r="S13" i="3"/>
  <c r="T12" i="3"/>
  <c r="S12" i="3"/>
  <c r="T11" i="3"/>
  <c r="S11" i="3"/>
  <c r="T10" i="3"/>
  <c r="S10" i="3"/>
  <c r="T9" i="3"/>
  <c r="S9" i="3"/>
  <c r="T8" i="3"/>
  <c r="S8" i="3"/>
  <c r="L8" i="3"/>
  <c r="L11" i="3" s="1"/>
  <c r="T7" i="3"/>
  <c r="S7" i="3"/>
  <c r="L7" i="3"/>
  <c r="K7" i="3" s="1"/>
  <c r="T6" i="3"/>
  <c r="S6" i="3"/>
  <c r="K6" i="3"/>
  <c r="U6" i="3" l="1"/>
  <c r="U17" i="3"/>
  <c r="U15" i="3"/>
  <c r="L10" i="3"/>
  <c r="K10" i="3" s="1"/>
  <c r="U10" i="3"/>
  <c r="U14" i="3"/>
  <c r="U8" i="3"/>
  <c r="U18" i="3"/>
  <c r="L62" i="3"/>
  <c r="K62" i="3" s="1"/>
  <c r="L9" i="3"/>
  <c r="K9" i="3" s="1"/>
  <c r="U9" i="3"/>
  <c r="U12" i="3"/>
  <c r="L26" i="3"/>
  <c r="K26" i="3" s="1"/>
  <c r="U16" i="3"/>
  <c r="U11" i="3"/>
  <c r="U7" i="3"/>
  <c r="U13" i="3"/>
  <c r="K25" i="3"/>
  <c r="K61" i="3"/>
  <c r="K63" i="3"/>
  <c r="L65" i="3"/>
  <c r="L64" i="3"/>
  <c r="K64" i="3" s="1"/>
  <c r="K11" i="3"/>
  <c r="L12" i="3"/>
  <c r="L29" i="3"/>
  <c r="K27" i="3"/>
  <c r="L28" i="3"/>
  <c r="K28" i="3" s="1"/>
  <c r="K8" i="3"/>
  <c r="L31" i="3" l="1"/>
  <c r="K29" i="3"/>
  <c r="L30" i="3"/>
  <c r="K30" i="3" s="1"/>
  <c r="L16" i="3"/>
  <c r="L15" i="3"/>
  <c r="K15" i="3" s="1"/>
  <c r="K12" i="3"/>
  <c r="L13" i="3"/>
  <c r="K13" i="3" s="1"/>
  <c r="L14" i="3"/>
  <c r="K14" i="3" s="1"/>
  <c r="K65" i="3"/>
  <c r="L67" i="3"/>
  <c r="L66" i="3"/>
  <c r="K66" i="3" s="1"/>
  <c r="L17" i="3" l="1"/>
  <c r="K17" i="3" s="1"/>
  <c r="K16" i="3"/>
  <c r="L18" i="3"/>
  <c r="K18" i="3" s="1"/>
  <c r="K67" i="3"/>
  <c r="L69" i="3"/>
  <c r="L68" i="3"/>
  <c r="K68" i="3" s="1"/>
  <c r="L33" i="3"/>
  <c r="K31" i="3"/>
  <c r="L32" i="3"/>
  <c r="K32" i="3" s="1"/>
  <c r="K69" i="3" l="1"/>
  <c r="L71" i="3"/>
  <c r="L70" i="3"/>
  <c r="K70" i="3" s="1"/>
  <c r="L34" i="3"/>
  <c r="K34" i="3" s="1"/>
  <c r="L35" i="3"/>
  <c r="K33" i="3"/>
  <c r="L37" i="3" l="1"/>
  <c r="K35" i="3"/>
  <c r="L36" i="3"/>
  <c r="K36" i="3" s="1"/>
  <c r="K71" i="3"/>
  <c r="L73" i="3"/>
  <c r="L72" i="3"/>
  <c r="K72" i="3" s="1"/>
  <c r="L39" i="3" l="1"/>
  <c r="K37" i="3"/>
  <c r="L38" i="3"/>
  <c r="K38" i="3" s="1"/>
  <c r="K73" i="3"/>
  <c r="L75" i="3"/>
  <c r="L74" i="3"/>
  <c r="K74" i="3" s="1"/>
  <c r="K75" i="3" l="1"/>
  <c r="L77" i="3"/>
  <c r="L76" i="3"/>
  <c r="K76" i="3" s="1"/>
  <c r="L41" i="3"/>
  <c r="K39" i="3"/>
  <c r="L40" i="3"/>
  <c r="K40" i="3" s="1"/>
  <c r="L43" i="3" l="1"/>
  <c r="K41" i="3"/>
  <c r="L42" i="3"/>
  <c r="K42" i="3" s="1"/>
  <c r="K77" i="3"/>
  <c r="L79" i="3"/>
  <c r="L78" i="3"/>
  <c r="K78" i="3" s="1"/>
  <c r="K79" i="3" l="1"/>
  <c r="L81" i="3"/>
  <c r="L80" i="3"/>
  <c r="K80" i="3" s="1"/>
  <c r="L45" i="3"/>
  <c r="K43" i="3"/>
  <c r="L44" i="3"/>
  <c r="K44" i="3" s="1"/>
  <c r="L47" i="3" l="1"/>
  <c r="K45" i="3"/>
  <c r="L46" i="3"/>
  <c r="K46" i="3" s="1"/>
  <c r="K81" i="3"/>
  <c r="L83" i="3"/>
  <c r="L82" i="3"/>
  <c r="K82" i="3" s="1"/>
  <c r="L85" i="3" l="1"/>
  <c r="K85" i="3" s="1"/>
  <c r="K83" i="3"/>
  <c r="L84" i="3"/>
  <c r="K84" i="3" s="1"/>
  <c r="L49" i="3"/>
  <c r="K47" i="3"/>
  <c r="L48" i="3"/>
  <c r="K48" i="3" s="1"/>
  <c r="L51" i="3" l="1"/>
  <c r="K49" i="3"/>
  <c r="L50" i="3"/>
  <c r="K50" i="3" s="1"/>
  <c r="L53" i="3" l="1"/>
  <c r="K51" i="3"/>
  <c r="L52" i="3"/>
  <c r="K52" i="3" s="1"/>
  <c r="L55" i="3" l="1"/>
  <c r="K53" i="3"/>
  <c r="L54" i="3"/>
  <c r="K54" i="3" s="1"/>
  <c r="K55" i="3" l="1"/>
</calcChain>
</file>

<file path=xl/sharedStrings.xml><?xml version="1.0" encoding="utf-8"?>
<sst xmlns="http://schemas.openxmlformats.org/spreadsheetml/2006/main" count="421" uniqueCount="128">
  <si>
    <t>Last name</t>
  </si>
  <si>
    <t>Marina</t>
  </si>
  <si>
    <t>Vecera</t>
  </si>
  <si>
    <t>f</t>
  </si>
  <si>
    <t>DYN</t>
  </si>
  <si>
    <t>Violante</t>
  </si>
  <si>
    <t>Giuntini</t>
  </si>
  <si>
    <t>Giannini</t>
  </si>
  <si>
    <t>m</t>
  </si>
  <si>
    <t>Plus</t>
  </si>
  <si>
    <t>Jonas</t>
  </si>
  <si>
    <t>Markus</t>
  </si>
  <si>
    <t>Benz</t>
  </si>
  <si>
    <t>DYNB</t>
  </si>
  <si>
    <t>Krzysztof</t>
  </si>
  <si>
    <t>Czech</t>
  </si>
  <si>
    <t>Antoine</t>
  </si>
  <si>
    <t>Logean</t>
  </si>
  <si>
    <t>Christian</t>
  </si>
  <si>
    <t>Langer</t>
  </si>
  <si>
    <t>Amiot</t>
  </si>
  <si>
    <t>STA</t>
  </si>
  <si>
    <t>Julien</t>
  </si>
  <si>
    <t>Dupont</t>
  </si>
  <si>
    <t>DNF</t>
  </si>
  <si>
    <t>Andrea</t>
  </si>
  <si>
    <t>Gamba</t>
  </si>
  <si>
    <t>Heidi</t>
  </si>
  <si>
    <t>Walter</t>
  </si>
  <si>
    <t>Dylan</t>
  </si>
  <si>
    <t>Perrenoud</t>
  </si>
  <si>
    <t>Hugo</t>
  </si>
  <si>
    <t>Piguet</t>
  </si>
  <si>
    <t>Cédric</t>
  </si>
  <si>
    <t>Humberset</t>
  </si>
  <si>
    <t>Ivan</t>
  </si>
  <si>
    <t>Morel</t>
  </si>
  <si>
    <t>Bläsi</t>
  </si>
  <si>
    <t>Gina</t>
  </si>
  <si>
    <t>Stüssi</t>
  </si>
  <si>
    <t>Rodolfo</t>
  </si>
  <si>
    <t>Robatti</t>
  </si>
  <si>
    <t>Nicolas</t>
  </si>
  <si>
    <t>Aufranc</t>
  </si>
  <si>
    <t>Lara</t>
  </si>
  <si>
    <t>Kollep</t>
  </si>
  <si>
    <t>François</t>
  </si>
  <si>
    <t>Farquet</t>
  </si>
  <si>
    <t>Cid</t>
  </si>
  <si>
    <t>Alexandre</t>
  </si>
  <si>
    <t>Witschi</t>
  </si>
  <si>
    <t>Carol</t>
  </si>
  <si>
    <t>Bapst</t>
  </si>
  <si>
    <t>David</t>
  </si>
  <si>
    <t>Fonjallaz</t>
  </si>
  <si>
    <t>Vivienne</t>
  </si>
  <si>
    <t>Woodtli</t>
  </si>
  <si>
    <t>Müller</t>
  </si>
  <si>
    <t>Vera</t>
  </si>
  <si>
    <t>Burkhardt</t>
  </si>
  <si>
    <t>Dirk</t>
  </si>
  <si>
    <t>Gubbels</t>
  </si>
  <si>
    <t>Anna-Karina</t>
  </si>
  <si>
    <t>Schmitt</t>
  </si>
  <si>
    <t>Melissa</t>
  </si>
  <si>
    <t>Lodes</t>
  </si>
  <si>
    <t>Roberta</t>
  </si>
  <si>
    <t>Troia</t>
  </si>
  <si>
    <t>Laura</t>
  </si>
  <si>
    <t>Nebuloni</t>
  </si>
  <si>
    <t>Oleguer</t>
  </si>
  <si>
    <t>Llibre Llonch</t>
  </si>
  <si>
    <t>Rodolphe</t>
  </si>
  <si>
    <t>Isnard</t>
  </si>
  <si>
    <t>Adam Jerzy</t>
  </si>
  <si>
    <t>Rodewald</t>
  </si>
  <si>
    <t>Pause</t>
  </si>
  <si>
    <t>Pause 10 min</t>
  </si>
  <si>
    <t>Pause 45 min</t>
  </si>
  <si>
    <t>Startzeit alle 12 min</t>
  </si>
  <si>
    <t>Startzeit alle 8 min</t>
  </si>
  <si>
    <t>AP</t>
  </si>
  <si>
    <t>Results</t>
  </si>
  <si>
    <t>Gender</t>
  </si>
  <si>
    <t>Country</t>
  </si>
  <si>
    <t>First Name</t>
  </si>
  <si>
    <t>Points STA</t>
  </si>
  <si>
    <t>Points DYN</t>
  </si>
  <si>
    <t>SUI</t>
  </si>
  <si>
    <t>Michael</t>
  </si>
  <si>
    <t>Static Apnea (STA)</t>
  </si>
  <si>
    <t>Water Warm Up</t>
  </si>
  <si>
    <t>Official Top</t>
  </si>
  <si>
    <t>Zone</t>
  </si>
  <si>
    <t>RP STA</t>
  </si>
  <si>
    <t>Penalty</t>
  </si>
  <si>
    <t>DQ Reason</t>
  </si>
  <si>
    <t>Card</t>
  </si>
  <si>
    <t>RP&lt;AP penalty</t>
  </si>
  <si>
    <t>Ranking</t>
  </si>
  <si>
    <t>Starter 1</t>
  </si>
  <si>
    <t>B</t>
  </si>
  <si>
    <t>Starter 2</t>
  </si>
  <si>
    <t>C</t>
  </si>
  <si>
    <t>A</t>
  </si>
  <si>
    <t>BEL</t>
  </si>
  <si>
    <t>D</t>
  </si>
  <si>
    <t>ITA</t>
  </si>
  <si>
    <t>Jonathan</t>
  </si>
  <si>
    <t>ESP</t>
  </si>
  <si>
    <t>DYN / DYNB</t>
  </si>
  <si>
    <t>Lane</t>
  </si>
  <si>
    <t>RP DYN</t>
  </si>
  <si>
    <t>Start penalty</t>
  </si>
  <si>
    <t>other penalty</t>
  </si>
  <si>
    <t>Other penalties</t>
  </si>
  <si>
    <t>starter 1</t>
  </si>
  <si>
    <t xml:space="preserve">starter 2 </t>
  </si>
  <si>
    <t>GER</t>
  </si>
  <si>
    <t>Isabelle</t>
  </si>
  <si>
    <t>Alberto</t>
  </si>
  <si>
    <t>SWE</t>
  </si>
  <si>
    <t>Ekstrand</t>
  </si>
  <si>
    <t>Henrik</t>
  </si>
  <si>
    <t>FRA</t>
  </si>
  <si>
    <t>RP DNF</t>
  </si>
  <si>
    <t>John</t>
  </si>
  <si>
    <t>Pierroz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</si>
</sst>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0"/>
    <numFmt numFmtId="165" formatCode="0.000000"/>
    <numFmt numFmtId="166" formatCode="0.0000"/>
    <numFmt numFmtId="167" formatCode="0\'"/>
    <numFmt numFmtId="168" formatCode="00&quot;'' &quot;"/>
    <numFmt numFmtId="169" formatCode="0&quot;''&quot;"/>
    <numFmt numFmtId="170" formatCode="\-0\p"/>
    <numFmt numFmtId="171" formatCode="\-0.0\p"/>
    <numFmt numFmtId="173" formatCode="00.00&quot;'' &quot;"/>
  </numFmts>
  <fonts count="14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20"/>
      <name val="Aptos Narrow"/>
      <family val="2"/>
      <scheme val="minor"/>
    </font>
    <font>
      <sz val="2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30"/>
      <color theme="1"/>
      <name val="Aptos Narrow"/>
      <family val="2"/>
      <scheme val="minor"/>
    </font>
    <font>
      <b/>
      <sz val="30"/>
      <name val="Aptos Narrow"/>
      <family val="2"/>
      <scheme val="minor"/>
    </font>
    <font>
      <sz val="16"/>
      <name val="Aptos Narrow"/>
      <family val="2"/>
      <scheme val="minor"/>
    </font>
    <font>
      <b/>
      <sz val="16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0"/>
      <color indexed="1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0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2" fontId="1" fillId="0" borderId="0" xfId="0" applyNumberFormat="1" applyFont="1"/>
    <xf numFmtId="0" fontId="1" fillId="0" borderId="0" xfId="0" applyFont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49" fontId="9" fillId="0" borderId="12" xfId="0" applyNumberFormat="1" applyFont="1" applyBorder="1" applyAlignment="1">
      <alignment horizontal="center" textRotation="90"/>
    </xf>
    <xf numFmtId="0" fontId="9" fillId="0" borderId="12" xfId="0" applyFont="1" applyBorder="1" applyAlignment="1">
      <alignment horizontal="center" textRotation="90"/>
    </xf>
    <xf numFmtId="0" fontId="9" fillId="0" borderId="13" xfId="0" applyFont="1" applyBorder="1" applyAlignment="1">
      <alignment horizontal="center" textRotation="90"/>
    </xf>
    <xf numFmtId="168" fontId="9" fillId="4" borderId="23" xfId="0" applyNumberFormat="1" applyFont="1" applyFill="1" applyBorder="1" applyAlignment="1">
      <alignment horizontal="left"/>
    </xf>
    <xf numFmtId="0" fontId="9" fillId="0" borderId="26" xfId="0" applyFont="1" applyBorder="1" applyAlignment="1">
      <alignment horizontal="center" textRotation="90"/>
    </xf>
    <xf numFmtId="0" fontId="9" fillId="0" borderId="33" xfId="0" applyFont="1" applyBorder="1" applyAlignment="1">
      <alignment horizontal="center" textRotation="90"/>
    </xf>
    <xf numFmtId="0" fontId="4" fillId="0" borderId="31" xfId="0" applyFont="1" applyBorder="1" applyAlignment="1">
      <alignment horizontal="center" textRotation="90"/>
    </xf>
    <xf numFmtId="0" fontId="4" fillId="0" borderId="12" xfId="0" applyFont="1" applyBorder="1" applyAlignment="1">
      <alignment horizontal="center" textRotation="90"/>
    </xf>
    <xf numFmtId="0" fontId="4" fillId="0" borderId="13" xfId="0" applyFont="1" applyBorder="1" applyAlignment="1">
      <alignment horizontal="center" textRotation="90"/>
    </xf>
    <xf numFmtId="0" fontId="10" fillId="0" borderId="22" xfId="0" applyFont="1" applyBorder="1" applyAlignment="1">
      <alignment horizontal="left" vertical="center"/>
    </xf>
    <xf numFmtId="0" fontId="3" fillId="0" borderId="23" xfId="0" applyFont="1" applyBorder="1" applyAlignment="1">
      <alignment vertical="center"/>
    </xf>
    <xf numFmtId="0" fontId="3" fillId="0" borderId="23" xfId="0" applyFont="1" applyBorder="1" applyAlignment="1">
      <alignment horizontal="left" vertical="center"/>
    </xf>
    <xf numFmtId="168" fontId="2" fillId="0" borderId="23" xfId="0" applyNumberFormat="1" applyFont="1" applyBorder="1" applyAlignment="1">
      <alignment horizontal="left" vertical="center"/>
    </xf>
    <xf numFmtId="0" fontId="2" fillId="0" borderId="23" xfId="0" applyFont="1" applyBorder="1" applyAlignment="1">
      <alignment horizontal="right" vertical="center"/>
    </xf>
    <xf numFmtId="20" fontId="3" fillId="0" borderId="23" xfId="0" applyNumberFormat="1" applyFont="1" applyBorder="1" applyAlignment="1">
      <alignment horizontal="center" vertical="center"/>
    </xf>
    <xf numFmtId="167" fontId="10" fillId="0" borderId="23" xfId="0" applyNumberFormat="1" applyFont="1" applyBorder="1" applyAlignment="1">
      <alignment horizontal="right" vertical="center"/>
    </xf>
    <xf numFmtId="168" fontId="10" fillId="0" borderId="23" xfId="0" applyNumberFormat="1" applyFont="1" applyBorder="1" applyAlignment="1">
      <alignment horizontal="left" vertical="center"/>
    </xf>
    <xf numFmtId="169" fontId="10" fillId="0" borderId="24" xfId="0" applyNumberFormat="1" applyFont="1" applyBorder="1" applyAlignment="1">
      <alignment horizontal="left" vertical="center"/>
    </xf>
    <xf numFmtId="170" fontId="11" fillId="0" borderId="32" xfId="0" applyNumberFormat="1" applyFont="1" applyBorder="1" applyAlignment="1">
      <alignment vertical="center"/>
    </xf>
    <xf numFmtId="170" fontId="11" fillId="0" borderId="24" xfId="0" applyNumberFormat="1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4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168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20" fontId="3" fillId="0" borderId="1" xfId="0" applyNumberFormat="1" applyFont="1" applyBorder="1" applyAlignment="1">
      <alignment horizontal="center" vertical="center"/>
    </xf>
    <xf numFmtId="167" fontId="10" fillId="0" borderId="1" xfId="0" applyNumberFormat="1" applyFont="1" applyBorder="1" applyAlignment="1">
      <alignment vertical="center"/>
    </xf>
    <xf numFmtId="168" fontId="10" fillId="0" borderId="1" xfId="0" applyNumberFormat="1" applyFont="1" applyBorder="1" applyAlignment="1">
      <alignment horizontal="left" vertical="center"/>
    </xf>
    <xf numFmtId="169" fontId="10" fillId="0" borderId="4" xfId="0" applyNumberFormat="1" applyFont="1" applyBorder="1" applyAlignment="1">
      <alignment horizontal="left" vertical="center"/>
    </xf>
    <xf numFmtId="170" fontId="11" fillId="0" borderId="16" xfId="0" applyNumberFormat="1" applyFont="1" applyBorder="1" applyAlignment="1">
      <alignment vertical="center"/>
    </xf>
    <xf numFmtId="170" fontId="11" fillId="0" borderId="4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10" fillId="3" borderId="3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168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20" fontId="10" fillId="8" borderId="1" xfId="0" applyNumberFormat="1" applyFont="1" applyFill="1" applyBorder="1" applyAlignment="1">
      <alignment vertical="center"/>
    </xf>
    <xf numFmtId="20" fontId="10" fillId="3" borderId="1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8" fontId="10" fillId="3" borderId="1" xfId="0" applyNumberFormat="1" applyFont="1" applyFill="1" applyBorder="1" applyAlignment="1">
      <alignment horizontal="left" vertical="center"/>
    </xf>
    <xf numFmtId="169" fontId="10" fillId="3" borderId="4" xfId="0" applyNumberFormat="1" applyFont="1" applyFill="1" applyBorder="1" applyAlignment="1">
      <alignment horizontal="left" vertical="center"/>
    </xf>
    <xf numFmtId="170" fontId="11" fillId="3" borderId="16" xfId="0" applyNumberFormat="1" applyFont="1" applyFill="1" applyBorder="1" applyAlignment="1">
      <alignment vertical="center"/>
    </xf>
    <xf numFmtId="170" fontId="11" fillId="3" borderId="4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vertical="center"/>
    </xf>
    <xf numFmtId="0" fontId="10" fillId="3" borderId="0" xfId="0" applyFont="1" applyFill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20" fontId="10" fillId="0" borderId="1" xfId="0" applyNumberFormat="1" applyFont="1" applyBorder="1" applyAlignment="1">
      <alignment horizontal="center" vertical="center"/>
    </xf>
    <xf numFmtId="167" fontId="10" fillId="3" borderId="1" xfId="0" applyNumberFormat="1" applyFont="1" applyFill="1" applyBorder="1" applyAlignment="1">
      <alignment vertical="center"/>
    </xf>
    <xf numFmtId="170" fontId="11" fillId="0" borderId="20" xfId="0" applyNumberFormat="1" applyFont="1" applyBorder="1" applyAlignment="1">
      <alignment vertical="center"/>
    </xf>
    <xf numFmtId="170" fontId="11" fillId="0" borderId="7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20" fontId="10" fillId="2" borderId="1" xfId="0" applyNumberFormat="1" applyFont="1" applyFill="1" applyBorder="1" applyAlignment="1">
      <alignment vertical="center"/>
    </xf>
    <xf numFmtId="170" fontId="11" fillId="3" borderId="15" xfId="0" applyNumberFormat="1" applyFont="1" applyFill="1" applyBorder="1" applyAlignment="1">
      <alignment vertical="center"/>
    </xf>
    <xf numFmtId="170" fontId="11" fillId="3" borderId="10" xfId="0" applyNumberFormat="1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2" fontId="10" fillId="0" borderId="0" xfId="0" applyNumberFormat="1" applyFont="1" applyAlignment="1">
      <alignment vertical="center"/>
    </xf>
    <xf numFmtId="2" fontId="10" fillId="3" borderId="0" xfId="0" applyNumberFormat="1" applyFont="1" applyFill="1" applyAlignment="1">
      <alignment vertical="center"/>
    </xf>
    <xf numFmtId="170" fontId="11" fillId="0" borderId="15" xfId="0" applyNumberFormat="1" applyFont="1" applyBorder="1" applyAlignment="1">
      <alignment vertical="center"/>
    </xf>
    <xf numFmtId="170" fontId="11" fillId="0" borderId="10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10" fillId="0" borderId="5" xfId="0" applyFont="1" applyBorder="1" applyAlignment="1">
      <alignment horizontal="left" vertical="center"/>
    </xf>
    <xf numFmtId="168" fontId="2" fillId="0" borderId="6" xfId="0" applyNumberFormat="1" applyFont="1" applyBorder="1" applyAlignment="1">
      <alignment horizontal="left" vertical="center"/>
    </xf>
    <xf numFmtId="2" fontId="0" fillId="0" borderId="0" xfId="0" applyNumberFormat="1"/>
    <xf numFmtId="0" fontId="9" fillId="5" borderId="26" xfId="0" applyFont="1" applyFill="1" applyBorder="1" applyAlignment="1">
      <alignment horizontal="center" textRotation="90"/>
    </xf>
    <xf numFmtId="0" fontId="9" fillId="9" borderId="26" xfId="0" applyFont="1" applyFill="1" applyBorder="1" applyAlignment="1">
      <alignment horizontal="center" textRotation="90"/>
    </xf>
    <xf numFmtId="0" fontId="9" fillId="2" borderId="27" xfId="0" applyFont="1" applyFill="1" applyBorder="1" applyAlignment="1">
      <alignment horizontal="center" textRotation="90"/>
    </xf>
    <xf numFmtId="0" fontId="9" fillId="0" borderId="27" xfId="0" applyFont="1" applyBorder="1" applyAlignment="1">
      <alignment horizontal="center" textRotation="90"/>
    </xf>
    <xf numFmtId="0" fontId="9" fillId="0" borderId="28" xfId="0" applyFont="1" applyBorder="1" applyAlignment="1">
      <alignment horizontal="center" textRotation="90"/>
    </xf>
    <xf numFmtId="0" fontId="9" fillId="0" borderId="29" xfId="0" applyFont="1" applyBorder="1" applyAlignment="1">
      <alignment horizontal="center" textRotation="90"/>
    </xf>
    <xf numFmtId="0" fontId="8" fillId="0" borderId="0" xfId="0" applyFont="1" applyAlignment="1">
      <alignment horizontal="center"/>
    </xf>
    <xf numFmtId="0" fontId="10" fillId="0" borderId="23" xfId="0" applyFont="1" applyBorder="1" applyAlignment="1">
      <alignment vertical="center"/>
    </xf>
    <xf numFmtId="0" fontId="2" fillId="5" borderId="23" xfId="0" applyFont="1" applyFill="1" applyBorder="1" applyAlignment="1">
      <alignment horizontal="right" vertical="center"/>
    </xf>
    <xf numFmtId="0" fontId="2" fillId="9" borderId="23" xfId="0" applyFont="1" applyFill="1" applyBorder="1" applyAlignment="1">
      <alignment horizontal="right" vertical="center"/>
    </xf>
    <xf numFmtId="20" fontId="10" fillId="0" borderId="23" xfId="0" applyNumberFormat="1" applyFont="1" applyBorder="1" applyAlignment="1">
      <alignment horizontal="center" vertical="center"/>
    </xf>
    <xf numFmtId="169" fontId="10" fillId="0" borderId="23" xfId="0" applyNumberFormat="1" applyFont="1" applyBorder="1" applyAlignment="1">
      <alignment horizontal="left" vertical="center"/>
    </xf>
    <xf numFmtId="170" fontId="11" fillId="0" borderId="24" xfId="0" applyNumberFormat="1" applyFont="1" applyBorder="1" applyAlignment="1">
      <alignment vertical="center"/>
    </xf>
    <xf numFmtId="171" fontId="11" fillId="0" borderId="32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right" vertical="center"/>
    </xf>
    <xf numFmtId="169" fontId="10" fillId="0" borderId="1" xfId="0" applyNumberFormat="1" applyFont="1" applyBorder="1" applyAlignment="1">
      <alignment horizontal="left" vertical="center"/>
    </xf>
    <xf numFmtId="170" fontId="11" fillId="0" borderId="4" xfId="0" applyNumberFormat="1" applyFont="1" applyBorder="1" applyAlignment="1">
      <alignment vertical="center"/>
    </xf>
    <xf numFmtId="171" fontId="11" fillId="0" borderId="16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20" fontId="10" fillId="3" borderId="1" xfId="0" applyNumberFormat="1" applyFont="1" applyFill="1" applyBorder="1" applyAlignment="1">
      <alignment vertical="center"/>
    </xf>
    <xf numFmtId="169" fontId="10" fillId="3" borderId="1" xfId="0" applyNumberFormat="1" applyFont="1" applyFill="1" applyBorder="1" applyAlignment="1">
      <alignment horizontal="left" vertical="center"/>
    </xf>
    <xf numFmtId="170" fontId="11" fillId="3" borderId="4" xfId="0" applyNumberFormat="1" applyFont="1" applyFill="1" applyBorder="1" applyAlignment="1">
      <alignment vertical="center"/>
    </xf>
    <xf numFmtId="171" fontId="11" fillId="3" borderId="16" xfId="0" applyNumberFormat="1" applyFont="1" applyFill="1" applyBorder="1" applyAlignment="1">
      <alignment horizontal="center" vertical="center"/>
    </xf>
    <xf numFmtId="20" fontId="10" fillId="0" borderId="1" xfId="0" applyNumberFormat="1" applyFont="1" applyBorder="1" applyAlignment="1">
      <alignment vertical="center"/>
    </xf>
    <xf numFmtId="170" fontId="11" fillId="3" borderId="18" xfId="0" applyNumberFormat="1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vertical="center"/>
    </xf>
    <xf numFmtId="169" fontId="10" fillId="0" borderId="6" xfId="0" applyNumberFormat="1" applyFont="1" applyBorder="1" applyAlignment="1">
      <alignment horizontal="left" vertical="center"/>
    </xf>
    <xf numFmtId="0" fontId="6" fillId="0" borderId="33" xfId="0" applyFont="1" applyBorder="1" applyAlignment="1">
      <alignment horizontal="center" vertical="center"/>
    </xf>
    <xf numFmtId="49" fontId="9" fillId="0" borderId="26" xfId="0" applyNumberFormat="1" applyFont="1" applyBorder="1" applyAlignment="1">
      <alignment horizontal="center" textRotation="90"/>
    </xf>
    <xf numFmtId="0" fontId="9" fillId="0" borderId="27" xfId="0" applyFont="1" applyBorder="1" applyAlignment="1">
      <alignment horizontal="right"/>
    </xf>
    <xf numFmtId="0" fontId="10" fillId="0" borderId="23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20" fontId="10" fillId="0" borderId="23" xfId="0" applyNumberFormat="1" applyFont="1" applyBorder="1" applyAlignment="1">
      <alignment horizontal="left" vertical="center"/>
    </xf>
    <xf numFmtId="170" fontId="11" fillId="0" borderId="24" xfId="0" applyNumberFormat="1" applyFont="1" applyBorder="1" applyAlignment="1">
      <alignment horizontal="left" vertical="center"/>
    </xf>
    <xf numFmtId="171" fontId="11" fillId="0" borderId="32" xfId="0" applyNumberFormat="1" applyFont="1" applyBorder="1" applyAlignment="1">
      <alignment horizontal="left" vertical="center"/>
    </xf>
    <xf numFmtId="0" fontId="10" fillId="0" borderId="32" xfId="0" applyFont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20" fontId="10" fillId="0" borderId="1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170" fontId="11" fillId="0" borderId="4" xfId="0" applyNumberFormat="1" applyFont="1" applyBorder="1" applyAlignment="1">
      <alignment horizontal="left" vertical="center"/>
    </xf>
    <xf numFmtId="171" fontId="11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20" fontId="10" fillId="3" borderId="1" xfId="0" applyNumberFormat="1" applyFont="1" applyFill="1" applyBorder="1" applyAlignment="1">
      <alignment horizontal="left" vertical="center"/>
    </xf>
    <xf numFmtId="170" fontId="11" fillId="3" borderId="4" xfId="0" applyNumberFormat="1" applyFont="1" applyFill="1" applyBorder="1" applyAlignment="1">
      <alignment horizontal="left" vertical="center"/>
    </xf>
    <xf numFmtId="171" fontId="11" fillId="3" borderId="16" xfId="0" applyNumberFormat="1" applyFont="1" applyFill="1" applyBorder="1" applyAlignment="1">
      <alignment horizontal="left" vertical="center"/>
    </xf>
    <xf numFmtId="0" fontId="10" fillId="3" borderId="16" xfId="0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20" fontId="10" fillId="0" borderId="6" xfId="0" applyNumberFormat="1" applyFont="1" applyBorder="1" applyAlignment="1">
      <alignment horizontal="left" vertical="center"/>
    </xf>
    <xf numFmtId="170" fontId="11" fillId="0" borderId="7" xfId="0" applyNumberFormat="1" applyFont="1" applyBorder="1" applyAlignment="1">
      <alignment horizontal="left" vertical="center"/>
    </xf>
    <xf numFmtId="171" fontId="11" fillId="0" borderId="20" xfId="0" applyNumberFormat="1" applyFont="1" applyBorder="1" applyAlignment="1">
      <alignment horizontal="left" vertical="center"/>
    </xf>
    <xf numFmtId="0" fontId="10" fillId="0" borderId="20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0" fillId="0" borderId="28" xfId="0" applyBorder="1"/>
    <xf numFmtId="0" fontId="0" fillId="0" borderId="29" xfId="0" applyBorder="1"/>
    <xf numFmtId="0" fontId="7" fillId="4" borderId="21" xfId="0" applyFont="1" applyFill="1" applyBorder="1" applyAlignment="1">
      <alignment horizontal="center" vertical="center"/>
    </xf>
    <xf numFmtId="0" fontId="0" fillId="0" borderId="30" xfId="0" applyBorder="1"/>
    <xf numFmtId="0" fontId="0" fillId="0" borderId="31" xfId="0" applyBorder="1"/>
    <xf numFmtId="0" fontId="7" fillId="5" borderId="21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textRotation="90"/>
    </xf>
    <xf numFmtId="0" fontId="7" fillId="2" borderId="11" xfId="0" applyFont="1" applyFill="1" applyBorder="1" applyAlignment="1">
      <alignment horizontal="center" vertical="center"/>
    </xf>
    <xf numFmtId="0" fontId="0" fillId="0" borderId="14" xfId="0" applyBorder="1"/>
    <xf numFmtId="0" fontId="7" fillId="6" borderId="21" xfId="0" applyFont="1" applyFill="1" applyBorder="1" applyAlignment="1">
      <alignment horizontal="center" vertical="center"/>
    </xf>
    <xf numFmtId="0" fontId="9" fillId="0" borderId="25" xfId="0" applyFont="1" applyBorder="1" applyAlignment="1">
      <alignment horizontal="center" textRotation="90"/>
    </xf>
    <xf numFmtId="0" fontId="7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textRotation="90"/>
    </xf>
    <xf numFmtId="0" fontId="7" fillId="0" borderId="21" xfId="0" applyFont="1" applyBorder="1" applyAlignment="1">
      <alignment horizontal="center" vertical="center"/>
    </xf>
    <xf numFmtId="0" fontId="7" fillId="6" borderId="31" xfId="0" applyFont="1" applyFill="1" applyBorder="1" applyAlignment="1">
      <alignment horizontal="center" vertical="center"/>
    </xf>
    <xf numFmtId="0" fontId="0" fillId="0" borderId="0" xfId="0" applyFont="1"/>
    <xf numFmtId="21" fontId="0" fillId="0" borderId="0" xfId="0" applyNumberFormat="1" applyFont="1"/>
    <xf numFmtId="164" fontId="0" fillId="0" borderId="0" xfId="0" applyNumberFormat="1" applyFont="1"/>
    <xf numFmtId="2" fontId="0" fillId="0" borderId="0" xfId="0" applyNumberFormat="1" applyFont="1"/>
    <xf numFmtId="0" fontId="12" fillId="0" borderId="25" xfId="0" applyFont="1" applyBorder="1" applyAlignment="1">
      <alignment horizontal="center" textRotation="90"/>
    </xf>
    <xf numFmtId="0" fontId="12" fillId="0" borderId="26" xfId="0" applyFont="1" applyBorder="1" applyAlignment="1">
      <alignment horizontal="center" textRotation="90"/>
    </xf>
    <xf numFmtId="20" fontId="10" fillId="7" borderId="23" xfId="0" applyNumberFormat="1" applyFont="1" applyFill="1" applyBorder="1" applyAlignment="1">
      <alignment vertical="center"/>
    </xf>
    <xf numFmtId="20" fontId="10" fillId="7" borderId="1" xfId="0" applyNumberFormat="1" applyFont="1" applyFill="1" applyBorder="1" applyAlignment="1">
      <alignment vertical="center"/>
    </xf>
    <xf numFmtId="0" fontId="0" fillId="0" borderId="0" xfId="0" applyFont="1" applyAlignment="1">
      <alignment horizontal="left"/>
    </xf>
    <xf numFmtId="20" fontId="10" fillId="0" borderId="23" xfId="0" applyNumberFormat="1" applyFont="1" applyBorder="1" applyAlignment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right"/>
    </xf>
    <xf numFmtId="0" fontId="0" fillId="0" borderId="0" xfId="0" applyFont="1" applyAlignment="1">
      <alignment horizontal="center"/>
    </xf>
    <xf numFmtId="164" fontId="0" fillId="0" borderId="0" xfId="0" applyNumberFormat="1" applyFont="1" applyAlignment="1">
      <alignment horizontal="center"/>
    </xf>
    <xf numFmtId="0" fontId="0" fillId="0" borderId="0" xfId="0" applyFont="1"/>
    <xf numFmtId="164" fontId="0" fillId="0" borderId="0" xfId="0" applyNumberFormat="1" applyFont="1" applyAlignment="1">
      <alignment horizontal="center"/>
    </xf>
    <xf numFmtId="165" fontId="0" fillId="0" borderId="0" xfId="0" applyNumberFormat="1" applyFont="1" applyAlignment="1">
      <alignment horizontal="left"/>
    </xf>
    <xf numFmtId="166" fontId="0" fillId="0" borderId="0" xfId="0" applyNumberFormat="1" applyFont="1" applyAlignment="1">
      <alignment horizontal="center"/>
    </xf>
    <xf numFmtId="0" fontId="10" fillId="0" borderId="19" xfId="0" applyFont="1" applyBorder="1" applyAlignment="1">
      <alignment vertical="center"/>
    </xf>
    <xf numFmtId="0" fontId="10" fillId="3" borderId="8" xfId="0" applyFont="1" applyFill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3" borderId="2" xfId="0" applyFont="1" applyFill="1" applyBorder="1" applyAlignment="1">
      <alignment vertical="center"/>
    </xf>
    <xf numFmtId="0" fontId="10" fillId="0" borderId="0" xfId="0" applyFont="1" applyBorder="1" applyAlignment="1">
      <alignment horizontal="center" vertical="center"/>
    </xf>
    <xf numFmtId="0" fontId="0" fillId="0" borderId="0" xfId="0" applyBorder="1"/>
    <xf numFmtId="0" fontId="10" fillId="3" borderId="0" xfId="0" applyFont="1" applyFill="1" applyBorder="1" applyAlignment="1">
      <alignment horizontal="center" vertical="center"/>
    </xf>
    <xf numFmtId="2" fontId="10" fillId="0" borderId="0" xfId="0" applyNumberFormat="1" applyFont="1" applyBorder="1" applyAlignment="1">
      <alignment vertical="center"/>
    </xf>
    <xf numFmtId="2" fontId="10" fillId="3" borderId="0" xfId="0" applyNumberFormat="1" applyFont="1" applyFill="1" applyBorder="1" applyAlignment="1">
      <alignment vertical="center"/>
    </xf>
    <xf numFmtId="173" fontId="0" fillId="0" borderId="0" xfId="0" applyNumberFormat="1" applyFont="1" applyAlignment="1">
      <alignment horizontal="right"/>
    </xf>
    <xf numFmtId="173" fontId="1" fillId="0" borderId="0" xfId="0" applyNumberFormat="1" applyFont="1" applyAlignment="1">
      <alignment horizontal="right"/>
    </xf>
    <xf numFmtId="173" fontId="9" fillId="4" borderId="32" xfId="0" applyNumberFormat="1" applyFont="1" applyFill="1" applyBorder="1" applyAlignment="1">
      <alignment horizontal="left"/>
    </xf>
    <xf numFmtId="173" fontId="2" fillId="0" borderId="23" xfId="0" applyNumberFormat="1" applyFont="1" applyBorder="1" applyAlignment="1">
      <alignment horizontal="right" vertical="center"/>
    </xf>
    <xf numFmtId="173" fontId="2" fillId="0" borderId="1" xfId="0" applyNumberFormat="1" applyFont="1" applyBorder="1" applyAlignment="1">
      <alignment horizontal="right" vertical="center"/>
    </xf>
    <xf numFmtId="173" fontId="2" fillId="3" borderId="1" xfId="0" applyNumberFormat="1" applyFont="1" applyFill="1" applyBorder="1" applyAlignment="1">
      <alignment horizontal="right" vertical="center"/>
    </xf>
    <xf numFmtId="173" fontId="0" fillId="0" borderId="0" xfId="0" applyNumberFormat="1"/>
    <xf numFmtId="173" fontId="2" fillId="0" borderId="23" xfId="0" applyNumberFormat="1" applyFont="1" applyBorder="1" applyAlignment="1">
      <alignment horizontal="left" vertical="center"/>
    </xf>
    <xf numFmtId="173" fontId="2" fillId="0" borderId="1" xfId="0" applyNumberFormat="1" applyFont="1" applyBorder="1" applyAlignment="1">
      <alignment horizontal="left" vertical="center"/>
    </xf>
    <xf numFmtId="173" fontId="2" fillId="3" borderId="1" xfId="0" applyNumberFormat="1" applyFont="1" applyFill="1" applyBorder="1" applyAlignment="1">
      <alignment horizontal="left" vertical="center"/>
    </xf>
    <xf numFmtId="173" fontId="2" fillId="0" borderId="6" xfId="0" applyNumberFormat="1" applyFont="1" applyBorder="1" applyAlignment="1">
      <alignment horizontal="left" vertical="center"/>
    </xf>
    <xf numFmtId="173" fontId="0" fillId="0" borderId="0" xfId="0" applyNumberFormat="1" applyAlignment="1">
      <alignment horizontal="right"/>
    </xf>
    <xf numFmtId="0" fontId="13" fillId="0" borderId="11" xfId="0" applyFont="1" applyBorder="1" applyAlignment="1">
      <alignment horizontal="left" vertical="center"/>
    </xf>
    <xf numFmtId="0" fontId="13" fillId="0" borderId="2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173"/>
  <sheetViews>
    <sheetView tabSelected="1" view="pageBreakPreview" topLeftCell="A43" zoomScale="60" zoomScaleNormal="90" workbookViewId="0">
      <selection activeCell="D16" sqref="D1:D1048576"/>
    </sheetView>
  </sheetViews>
  <sheetFormatPr baseColWidth="10" defaultColWidth="11" defaultRowHeight="16" x14ac:dyDescent="0.2"/>
  <cols>
    <col min="1" max="1" width="7.33203125" style="164" customWidth="1"/>
    <col min="2" max="2" width="5.1640625" customWidth="1"/>
    <col min="3" max="3" width="6.5" customWidth="1"/>
    <col min="4" max="4" width="20.83203125" customWidth="1"/>
    <col min="5" max="5" width="18.1640625" customWidth="1"/>
    <col min="6" max="6" width="11" style="197" bestFit="1" customWidth="1"/>
    <col min="7" max="7" width="8.6640625" customWidth="1"/>
    <col min="8" max="8" width="7.1640625" customWidth="1"/>
    <col min="9" max="9" width="7.33203125" customWidth="1"/>
    <col min="10" max="10" width="7.6640625" bestFit="1" customWidth="1"/>
    <col min="11" max="11" width="9.5" style="164" customWidth="1"/>
    <col min="12" max="12" width="10.1640625" style="164" customWidth="1"/>
    <col min="13" max="13" width="5.83203125" customWidth="1"/>
    <col min="14" max="15" width="10.6640625" customWidth="1"/>
    <col min="18" max="18" width="7.6640625" bestFit="1" customWidth="1"/>
    <col min="19" max="19" width="8" hidden="1" customWidth="1"/>
    <col min="20" max="20" width="8.1640625" hidden="1" customWidth="1"/>
    <col min="21" max="21" width="11.83203125" hidden="1" customWidth="1"/>
    <col min="22" max="22" width="10.5" hidden="1" customWidth="1"/>
    <col min="23" max="23" width="9.5" customWidth="1"/>
    <col min="24" max="24" width="16.5" customWidth="1"/>
    <col min="25" max="25" width="6.6640625" customWidth="1"/>
    <col min="26" max="26" width="7.33203125" customWidth="1"/>
    <col min="27" max="27" width="6.6640625" customWidth="1"/>
    <col min="28" max="28" width="4.83203125" customWidth="1"/>
    <col min="29" max="29" width="6.6640625" customWidth="1"/>
    <col min="31" max="31" width="7" customWidth="1"/>
    <col min="32" max="32" width="6.83203125" customWidth="1"/>
    <col min="33" max="33" width="5.1640625" customWidth="1"/>
    <col min="35" max="35" width="6.5" customWidth="1"/>
    <col min="37" max="37" width="6.6640625" customWidth="1"/>
    <col min="39" max="39" width="4.83203125" customWidth="1"/>
    <col min="41" max="41" width="9.83203125" customWidth="1"/>
    <col min="42" max="43" width="6.33203125" customWidth="1"/>
    <col min="44" max="44" width="9" customWidth="1"/>
    <col min="45" max="45" width="11.5" customWidth="1"/>
  </cols>
  <sheetData>
    <row r="1" spans="1:45" s="164" customFormat="1" x14ac:dyDescent="0.2">
      <c r="A1" s="174"/>
      <c r="E1" s="164" t="s">
        <v>76</v>
      </c>
      <c r="F1" s="191"/>
      <c r="I1" s="175"/>
      <c r="J1" s="175"/>
      <c r="L1" s="165">
        <v>6.9444444444444441E-3</v>
      </c>
      <c r="M1" s="176"/>
      <c r="N1" s="177">
        <v>3.125E-2</v>
      </c>
      <c r="O1" s="178"/>
      <c r="P1" s="179"/>
      <c r="Q1" s="179"/>
      <c r="U1" s="164" t="s">
        <v>77</v>
      </c>
      <c r="W1" s="176"/>
      <c r="X1" s="180">
        <v>6.9444444444444441E-3</v>
      </c>
      <c r="Y1" s="180"/>
      <c r="Z1" s="167"/>
      <c r="AC1" s="164" t="s">
        <v>78</v>
      </c>
      <c r="AE1" s="181">
        <v>3.125E-2</v>
      </c>
      <c r="AF1" s="181"/>
      <c r="AO1" s="176"/>
      <c r="AP1" s="176"/>
    </row>
    <row r="2" spans="1:45" s="164" customFormat="1" x14ac:dyDescent="0.2">
      <c r="A2" s="174"/>
      <c r="E2" s="164" t="s">
        <v>79</v>
      </c>
      <c r="F2" s="191"/>
      <c r="I2" s="175"/>
      <c r="J2" s="175"/>
      <c r="L2" s="166">
        <v>8.3333333333333332E-3</v>
      </c>
      <c r="U2" s="164" t="s">
        <v>80</v>
      </c>
      <c r="W2" s="176"/>
      <c r="Y2" s="177">
        <v>5.5555555555555558E-3</v>
      </c>
      <c r="Z2" s="177"/>
      <c r="AA2" s="167"/>
      <c r="AB2" s="167"/>
      <c r="AM2" s="167"/>
      <c r="AN2" s="167"/>
      <c r="AO2" s="176"/>
      <c r="AP2" s="176"/>
    </row>
    <row r="3" spans="1:45" ht="17" thickBot="1" x14ac:dyDescent="0.25">
      <c r="A3" s="174"/>
      <c r="B3" s="1"/>
      <c r="C3" s="1"/>
      <c r="D3" s="1"/>
      <c r="E3" s="1"/>
      <c r="F3" s="192"/>
      <c r="G3" s="1"/>
      <c r="H3" s="1"/>
      <c r="I3" s="3"/>
      <c r="J3" s="3"/>
      <c r="L3" s="167"/>
      <c r="M3" s="4"/>
      <c r="N3" s="6"/>
      <c r="O3" s="1"/>
      <c r="P3" s="1"/>
      <c r="Q3" s="1"/>
      <c r="R3" s="1"/>
      <c r="S3" s="1"/>
      <c r="T3" s="1"/>
      <c r="U3" s="1"/>
      <c r="V3" s="1"/>
      <c r="W3" s="4"/>
      <c r="X3" s="1"/>
      <c r="Y3" s="5"/>
      <c r="Z3" s="5"/>
      <c r="AA3" s="5"/>
      <c r="AB3" s="5"/>
      <c r="AC3" s="1"/>
      <c r="AD3" s="1"/>
      <c r="AE3" s="1"/>
      <c r="AF3" s="1"/>
      <c r="AG3" s="1"/>
      <c r="AH3" s="1"/>
      <c r="AI3" s="1"/>
      <c r="AJ3" s="1"/>
      <c r="AK3" s="1"/>
      <c r="AL3" s="1"/>
      <c r="AM3" s="5"/>
      <c r="AN3" s="5"/>
      <c r="AO3" s="4"/>
      <c r="AP3" s="4"/>
      <c r="AQ3" s="1"/>
      <c r="AR3" s="1"/>
    </row>
    <row r="4" spans="1:45" ht="55.25" customHeight="1" thickBot="1" x14ac:dyDescent="0.25">
      <c r="A4" s="11"/>
      <c r="B4" s="12"/>
      <c r="C4" s="12"/>
      <c r="D4" s="149"/>
      <c r="E4" s="150"/>
      <c r="F4" s="160" t="s">
        <v>81</v>
      </c>
      <c r="G4" s="149"/>
      <c r="H4" s="149"/>
      <c r="I4" s="149"/>
      <c r="J4" s="150"/>
      <c r="K4" s="151" t="s">
        <v>90</v>
      </c>
      <c r="L4" s="152"/>
      <c r="M4" s="152"/>
      <c r="N4" s="152"/>
      <c r="O4" s="152"/>
      <c r="P4" s="152"/>
      <c r="Q4" s="152"/>
      <c r="R4" s="152"/>
      <c r="S4" s="152"/>
      <c r="T4" s="153"/>
      <c r="U4" s="158" t="s">
        <v>82</v>
      </c>
      <c r="V4" s="153"/>
      <c r="AB4" s="13"/>
      <c r="AC4" s="13"/>
      <c r="AD4" s="13"/>
    </row>
    <row r="5" spans="1:45" ht="111" customHeight="1" thickBot="1" x14ac:dyDescent="0.35">
      <c r="A5" s="203"/>
      <c r="B5" s="14" t="s">
        <v>83</v>
      </c>
      <c r="C5" s="15" t="s">
        <v>84</v>
      </c>
      <c r="D5" s="15" t="s">
        <v>0</v>
      </c>
      <c r="E5" s="16" t="s">
        <v>85</v>
      </c>
      <c r="F5" s="193" t="s">
        <v>21</v>
      </c>
      <c r="G5" s="17"/>
      <c r="H5" s="15" t="s">
        <v>4</v>
      </c>
      <c r="I5" s="15" t="s">
        <v>13</v>
      </c>
      <c r="J5" s="16" t="s">
        <v>24</v>
      </c>
      <c r="K5" s="168" t="s">
        <v>91</v>
      </c>
      <c r="L5" s="169" t="s">
        <v>92</v>
      </c>
      <c r="M5" s="18" t="s">
        <v>93</v>
      </c>
      <c r="N5" s="161" t="s">
        <v>94</v>
      </c>
      <c r="O5" s="150"/>
      <c r="P5" s="19" t="s">
        <v>95</v>
      </c>
      <c r="Q5" s="19" t="s">
        <v>96</v>
      </c>
      <c r="R5" s="155" t="s">
        <v>97</v>
      </c>
      <c r="S5" s="153"/>
      <c r="T5" s="20" t="s">
        <v>98</v>
      </c>
      <c r="U5" s="21" t="s">
        <v>86</v>
      </c>
      <c r="V5" s="22" t="s">
        <v>99</v>
      </c>
    </row>
    <row r="6" spans="1:45" ht="45" customHeight="1" x14ac:dyDescent="0.2">
      <c r="A6" s="23"/>
      <c r="B6" s="24"/>
      <c r="C6" s="24"/>
      <c r="D6" s="25" t="s">
        <v>100</v>
      </c>
      <c r="E6" s="25"/>
      <c r="F6" s="194"/>
      <c r="G6" s="26"/>
      <c r="H6" s="27"/>
      <c r="I6" s="27"/>
      <c r="J6" s="27"/>
      <c r="K6" s="170">
        <f>L6-N$1</f>
        <v>0.38541666666666669</v>
      </c>
      <c r="L6" s="170">
        <v>0.41666666666666669</v>
      </c>
      <c r="M6" s="28" t="s">
        <v>101</v>
      </c>
      <c r="N6" s="29"/>
      <c r="O6" s="30"/>
      <c r="P6" s="30"/>
      <c r="Q6" s="30"/>
      <c r="R6" s="31"/>
      <c r="S6" s="32">
        <f t="shared" ref="S6:S18" si="0">ROUNDUP(R6/5,0)</f>
        <v>0</v>
      </c>
      <c r="T6" s="33">
        <f>ROUNDUP(IF((((F6*60)+G6)-((N6*60)+O6))&gt;0,((( F6*60)+G6)-(( N6*60)+O6)),0)/5,0)</f>
        <v>0</v>
      </c>
      <c r="U6" s="34">
        <f t="shared" ref="U6:U18" si="1">IF(N6="dq",0,((N6*60+O6)*0.2)-S6-T6)</f>
        <v>0</v>
      </c>
      <c r="V6" s="35"/>
      <c r="W6" s="36"/>
    </row>
    <row r="7" spans="1:45" ht="45" customHeight="1" x14ac:dyDescent="0.2">
      <c r="A7" s="37"/>
      <c r="B7" s="38"/>
      <c r="C7" s="38"/>
      <c r="D7" s="39" t="s">
        <v>102</v>
      </c>
      <c r="E7" s="39"/>
      <c r="F7" s="195"/>
      <c r="G7" s="40"/>
      <c r="H7" s="41"/>
      <c r="I7" s="41"/>
      <c r="J7" s="41"/>
      <c r="K7" s="171">
        <f>L7-N$1</f>
        <v>0.38541666666666669</v>
      </c>
      <c r="L7" s="171">
        <f>L6</f>
        <v>0.41666666666666669</v>
      </c>
      <c r="M7" s="42" t="s">
        <v>103</v>
      </c>
      <c r="N7" s="43"/>
      <c r="O7" s="44"/>
      <c r="P7" s="44"/>
      <c r="Q7" s="44"/>
      <c r="R7" s="45"/>
      <c r="S7" s="46">
        <f t="shared" si="0"/>
        <v>0</v>
      </c>
      <c r="T7" s="47">
        <f>ROUNDUP(IF((((F7*60)+G7)-((N7*60)+O7))&gt;0,((( F7*60)+G7)-(( N7*60)+O7)),0)/5,0)</f>
        <v>0</v>
      </c>
      <c r="U7" s="48">
        <f t="shared" si="1"/>
        <v>0</v>
      </c>
      <c r="V7" s="49"/>
      <c r="W7" s="36"/>
    </row>
    <row r="8" spans="1:45" ht="45" customHeight="1" x14ac:dyDescent="0.2">
      <c r="A8" s="50">
        <v>1</v>
      </c>
      <c r="B8" s="51" t="s">
        <v>8</v>
      </c>
      <c r="C8" s="52" t="s">
        <v>88</v>
      </c>
      <c r="D8" s="52" t="s">
        <v>41</v>
      </c>
      <c r="E8" s="52" t="s">
        <v>40</v>
      </c>
      <c r="F8" s="196">
        <v>0.3</v>
      </c>
      <c r="G8" s="53"/>
      <c r="H8" s="54"/>
      <c r="I8" s="54"/>
      <c r="J8" s="54"/>
      <c r="K8" s="55">
        <f>L8-N$1</f>
        <v>0.39375000000000004</v>
      </c>
      <c r="L8" s="55">
        <f>L6+L2</f>
        <v>0.42500000000000004</v>
      </c>
      <c r="M8" s="56" t="s">
        <v>104</v>
      </c>
      <c r="N8" s="57"/>
      <c r="O8" s="58"/>
      <c r="P8" s="58"/>
      <c r="Q8" s="58"/>
      <c r="R8" s="59"/>
      <c r="S8" s="60">
        <f t="shared" si="0"/>
        <v>0</v>
      </c>
      <c r="T8" s="61">
        <f>ROUNDUP(IF((((F8*60)+G8)-((N8*60)+O8))&gt;0,((( F8*60)+G8)-(( N8*60)+O8)),0)/5,0)</f>
        <v>4</v>
      </c>
      <c r="U8" s="62">
        <f t="shared" si="1"/>
        <v>-4</v>
      </c>
      <c r="V8" s="63"/>
      <c r="W8" s="64"/>
    </row>
    <row r="9" spans="1:45" ht="45" customHeight="1" x14ac:dyDescent="0.2">
      <c r="A9" s="37">
        <v>2</v>
      </c>
      <c r="B9" s="38" t="s">
        <v>8</v>
      </c>
      <c r="C9" s="65" t="s">
        <v>88</v>
      </c>
      <c r="D9" s="65" t="s">
        <v>57</v>
      </c>
      <c r="E9" s="65" t="s">
        <v>89</v>
      </c>
      <c r="F9" s="195">
        <v>1</v>
      </c>
      <c r="G9" s="40"/>
      <c r="H9" s="66"/>
      <c r="I9" s="66"/>
      <c r="J9" s="66"/>
      <c r="K9" s="55">
        <f>L9-N$1</f>
        <v>0.39375000000000004</v>
      </c>
      <c r="L9" s="55">
        <f>L8</f>
        <v>0.42500000000000004</v>
      </c>
      <c r="M9" s="67" t="s">
        <v>101</v>
      </c>
      <c r="N9" s="43"/>
      <c r="O9" s="44"/>
      <c r="P9" s="44"/>
      <c r="Q9" s="44"/>
      <c r="R9" s="45"/>
      <c r="S9" s="46">
        <f t="shared" si="0"/>
        <v>0</v>
      </c>
      <c r="T9" s="47">
        <f>ROUNDUP(IF((((F9*60)+G9)-((N9*60)+O9))&gt;0,((( F9*60)+G9)-(( N9*60)+O9)),0)/5,0)</f>
        <v>12</v>
      </c>
      <c r="U9" s="48">
        <f t="shared" si="1"/>
        <v>-12</v>
      </c>
      <c r="V9" s="49"/>
      <c r="W9" s="36"/>
    </row>
    <row r="10" spans="1:45" ht="45" customHeight="1" x14ac:dyDescent="0.2">
      <c r="A10" s="50">
        <v>3</v>
      </c>
      <c r="B10" s="51" t="s">
        <v>8</v>
      </c>
      <c r="C10" s="52" t="s">
        <v>105</v>
      </c>
      <c r="D10" s="52" t="s">
        <v>61</v>
      </c>
      <c r="E10" s="52" t="s">
        <v>60</v>
      </c>
      <c r="F10" s="196">
        <v>2.2999999999999998</v>
      </c>
      <c r="G10" s="53"/>
      <c r="H10" s="54"/>
      <c r="I10" s="54"/>
      <c r="J10" s="54"/>
      <c r="K10" s="55">
        <f>L10-N$1</f>
        <v>0.39375000000000004</v>
      </c>
      <c r="L10" s="55">
        <f>L8</f>
        <v>0.42500000000000004</v>
      </c>
      <c r="M10" s="56" t="s">
        <v>103</v>
      </c>
      <c r="N10" s="68"/>
      <c r="O10" s="58"/>
      <c r="P10" s="58"/>
      <c r="Q10" s="58"/>
      <c r="R10" s="59"/>
      <c r="S10" s="60">
        <f t="shared" si="0"/>
        <v>0</v>
      </c>
      <c r="T10" s="61">
        <f>ROUNDUP(IF((((F10*60)+G10)-((N10*60)+O10))&gt;0,((( F10*60)+G10)-(( N10*60)+O10)),0)/5,0)</f>
        <v>28</v>
      </c>
      <c r="U10" s="62">
        <f t="shared" si="1"/>
        <v>-28</v>
      </c>
      <c r="V10" s="63"/>
      <c r="W10" s="64"/>
    </row>
    <row r="11" spans="1:45" ht="45" customHeight="1" thickBot="1" x14ac:dyDescent="0.25">
      <c r="A11" s="37">
        <v>4</v>
      </c>
      <c r="B11" s="38" t="s">
        <v>8</v>
      </c>
      <c r="C11" s="65" t="s">
        <v>88</v>
      </c>
      <c r="D11" s="65" t="s">
        <v>15</v>
      </c>
      <c r="E11" s="65" t="s">
        <v>14</v>
      </c>
      <c r="F11" s="195">
        <v>3</v>
      </c>
      <c r="G11" s="40"/>
      <c r="H11" s="66"/>
      <c r="I11" s="66"/>
      <c r="J11" s="66"/>
      <c r="K11" s="55">
        <f>L11-N$1</f>
        <v>0.39375000000000004</v>
      </c>
      <c r="L11" s="55">
        <f>L8</f>
        <v>0.42500000000000004</v>
      </c>
      <c r="M11" s="42" t="s">
        <v>106</v>
      </c>
      <c r="N11" s="43"/>
      <c r="O11" s="44"/>
      <c r="P11" s="44"/>
      <c r="Q11" s="44"/>
      <c r="R11" s="45"/>
      <c r="S11" s="69">
        <f t="shared" si="0"/>
        <v>0</v>
      </c>
      <c r="T11" s="70">
        <f>ROUNDUP(IF((((F11*60)+G11)-((N11*60)+O11))&gt;0,((( F11*60)+G11)-(( N11*60)+O11)),0)/5,0)</f>
        <v>36</v>
      </c>
      <c r="U11" s="71">
        <f t="shared" si="1"/>
        <v>-36</v>
      </c>
      <c r="V11" s="182"/>
      <c r="W11" s="186"/>
      <c r="X11" s="187"/>
      <c r="Y11" s="187"/>
      <c r="Z11" s="187"/>
      <c r="AA11" s="187"/>
      <c r="AB11" s="187"/>
      <c r="AC11" s="187"/>
      <c r="AD11" s="187"/>
      <c r="AE11" s="187"/>
      <c r="AF11" s="187"/>
      <c r="AG11" s="187"/>
      <c r="AH11" s="187"/>
      <c r="AI11" s="187"/>
      <c r="AJ11" s="187"/>
      <c r="AK11" s="187"/>
      <c r="AL11" s="187"/>
      <c r="AM11" s="187"/>
      <c r="AN11" s="187"/>
      <c r="AO11" s="187"/>
      <c r="AP11" s="187"/>
      <c r="AQ11" s="187"/>
      <c r="AR11" s="187"/>
      <c r="AS11" s="187"/>
    </row>
    <row r="12" spans="1:45" ht="45" customHeight="1" x14ac:dyDescent="0.2">
      <c r="A12" s="50">
        <v>5</v>
      </c>
      <c r="B12" s="51" t="s">
        <v>8</v>
      </c>
      <c r="C12" s="52" t="s">
        <v>88</v>
      </c>
      <c r="D12" s="52" t="s">
        <v>23</v>
      </c>
      <c r="E12" s="52" t="s">
        <v>22</v>
      </c>
      <c r="F12" s="196">
        <v>3</v>
      </c>
      <c r="G12" s="53"/>
      <c r="H12" s="54"/>
      <c r="I12" s="54"/>
      <c r="J12" s="54"/>
      <c r="K12" s="72">
        <f>L12-N$1</f>
        <v>0.4020833333333334</v>
      </c>
      <c r="L12" s="72">
        <f>L11+L2</f>
        <v>0.4333333333333334</v>
      </c>
      <c r="M12" s="56" t="s">
        <v>104</v>
      </c>
      <c r="N12" s="68"/>
      <c r="O12" s="58"/>
      <c r="P12" s="58"/>
      <c r="Q12" s="58"/>
      <c r="R12" s="59"/>
      <c r="S12" s="73">
        <f t="shared" si="0"/>
        <v>0</v>
      </c>
      <c r="T12" s="74">
        <f>ROUNDUP(IF((((F12*60)+G12)-((N12*60)+O12))&gt;0,((( F12*60)+G12)-(( N12*60)+O12)),0)/5,0)</f>
        <v>36</v>
      </c>
      <c r="U12" s="75">
        <f t="shared" si="1"/>
        <v>-36</v>
      </c>
      <c r="V12" s="183"/>
      <c r="W12" s="188"/>
      <c r="X12" s="187"/>
      <c r="Y12" s="187"/>
      <c r="Z12" s="187"/>
      <c r="AA12" s="187"/>
      <c r="AB12" s="187"/>
      <c r="AC12" s="187"/>
      <c r="AD12" s="187"/>
      <c r="AE12" s="187"/>
      <c r="AF12" s="187"/>
      <c r="AG12" s="187"/>
      <c r="AH12" s="187"/>
      <c r="AI12" s="187"/>
      <c r="AJ12" s="187"/>
      <c r="AK12" s="187"/>
      <c r="AL12" s="187"/>
      <c r="AM12" s="187"/>
      <c r="AN12" s="187"/>
      <c r="AO12" s="187"/>
      <c r="AP12" s="187"/>
      <c r="AQ12" s="187"/>
      <c r="AR12" s="187"/>
      <c r="AS12" s="187"/>
    </row>
    <row r="13" spans="1:45" ht="45" customHeight="1" x14ac:dyDescent="0.2">
      <c r="A13" s="37">
        <v>6</v>
      </c>
      <c r="B13" s="38" t="s">
        <v>3</v>
      </c>
      <c r="C13" s="65" t="s">
        <v>107</v>
      </c>
      <c r="D13" s="65" t="s">
        <v>69</v>
      </c>
      <c r="E13" s="65" t="s">
        <v>68</v>
      </c>
      <c r="F13" s="195">
        <v>3.3</v>
      </c>
      <c r="G13" s="40"/>
      <c r="H13" s="66"/>
      <c r="I13" s="66"/>
      <c r="J13" s="66"/>
      <c r="K13" s="72">
        <f>L13-N$1</f>
        <v>0.4020833333333334</v>
      </c>
      <c r="L13" s="72">
        <f>L12</f>
        <v>0.4333333333333334</v>
      </c>
      <c r="M13" s="67" t="s">
        <v>101</v>
      </c>
      <c r="N13" s="43"/>
      <c r="O13" s="44"/>
      <c r="P13" s="44"/>
      <c r="Q13" s="44"/>
      <c r="R13" s="45"/>
      <c r="S13" s="46">
        <f t="shared" si="0"/>
        <v>0</v>
      </c>
      <c r="T13" s="47">
        <f>ROUNDUP(IF((((F13*60)+G13)-((N13*60)+O13))&gt;0,((( F13*60)+G13)-(( N13*60)+O13)),0)/5,0)</f>
        <v>40</v>
      </c>
      <c r="U13" s="48">
        <f t="shared" si="1"/>
        <v>-40</v>
      </c>
      <c r="V13" s="184"/>
      <c r="W13" s="186"/>
      <c r="X13" s="187"/>
      <c r="Y13" s="187"/>
      <c r="Z13" s="187"/>
      <c r="AA13" s="187"/>
      <c r="AB13" s="187"/>
      <c r="AC13" s="187"/>
      <c r="AD13" s="187"/>
      <c r="AE13" s="187"/>
      <c r="AF13" s="187"/>
      <c r="AG13" s="187"/>
      <c r="AH13" s="187"/>
      <c r="AI13" s="187"/>
      <c r="AJ13" s="187"/>
      <c r="AK13" s="187"/>
      <c r="AL13" s="187"/>
      <c r="AM13" s="187"/>
      <c r="AN13" s="187"/>
      <c r="AO13" s="189"/>
      <c r="AP13" s="187"/>
      <c r="AQ13" s="187"/>
      <c r="AR13" s="187"/>
      <c r="AS13" s="187"/>
    </row>
    <row r="14" spans="1:45" ht="45" customHeight="1" x14ac:dyDescent="0.2">
      <c r="A14" s="50">
        <v>7</v>
      </c>
      <c r="B14" s="51" t="s">
        <v>8</v>
      </c>
      <c r="C14" s="52" t="s">
        <v>88</v>
      </c>
      <c r="D14" s="52" t="s">
        <v>47</v>
      </c>
      <c r="E14" s="52" t="s">
        <v>46</v>
      </c>
      <c r="F14" s="196">
        <v>4</v>
      </c>
      <c r="G14" s="53"/>
      <c r="H14" s="54"/>
      <c r="I14" s="54"/>
      <c r="J14" s="54"/>
      <c r="K14" s="72">
        <f>L14-N$1</f>
        <v>0.4020833333333334</v>
      </c>
      <c r="L14" s="72">
        <f>L12</f>
        <v>0.4333333333333334</v>
      </c>
      <c r="M14" s="56" t="s">
        <v>103</v>
      </c>
      <c r="N14" s="68"/>
      <c r="O14" s="58"/>
      <c r="P14" s="58"/>
      <c r="Q14" s="58"/>
      <c r="R14" s="59"/>
      <c r="S14" s="60">
        <f t="shared" si="0"/>
        <v>0</v>
      </c>
      <c r="T14" s="61">
        <f>ROUNDUP(IF((((F14*60)+G14)-((N14*60)+O14))&gt;0,((( F14*60)+G14)-(( N14*60)+O14)),0)/5,0)</f>
        <v>48</v>
      </c>
      <c r="U14" s="62">
        <f t="shared" si="1"/>
        <v>-48</v>
      </c>
      <c r="V14" s="185"/>
      <c r="W14" s="188"/>
      <c r="X14" s="187"/>
      <c r="Y14" s="187"/>
      <c r="Z14" s="187"/>
      <c r="AA14" s="187"/>
      <c r="AB14" s="187"/>
      <c r="AC14" s="187"/>
      <c r="AD14" s="187"/>
      <c r="AE14" s="187"/>
      <c r="AF14" s="187"/>
      <c r="AG14" s="187"/>
      <c r="AH14" s="187"/>
      <c r="AI14" s="187"/>
      <c r="AJ14" s="187"/>
      <c r="AK14" s="187"/>
      <c r="AL14" s="187"/>
      <c r="AM14" s="187"/>
      <c r="AN14" s="187"/>
      <c r="AO14" s="190"/>
      <c r="AP14" s="187"/>
      <c r="AQ14" s="187"/>
      <c r="AR14" s="187"/>
      <c r="AS14" s="187"/>
    </row>
    <row r="15" spans="1:45" ht="45" customHeight="1" thickBot="1" x14ac:dyDescent="0.25">
      <c r="A15" s="37">
        <v>8</v>
      </c>
      <c r="B15" s="38" t="s">
        <v>8</v>
      </c>
      <c r="C15" s="65" t="s">
        <v>88</v>
      </c>
      <c r="D15" s="65" t="s">
        <v>54</v>
      </c>
      <c r="E15" s="65" t="s">
        <v>53</v>
      </c>
      <c r="F15" s="195">
        <v>4</v>
      </c>
      <c r="G15" s="40"/>
      <c r="H15" s="66"/>
      <c r="I15" s="66"/>
      <c r="J15" s="66"/>
      <c r="K15" s="72">
        <f>L15-N$1</f>
        <v>0.4020833333333334</v>
      </c>
      <c r="L15" s="72">
        <f>L12</f>
        <v>0.4333333333333334</v>
      </c>
      <c r="M15" s="42" t="s">
        <v>106</v>
      </c>
      <c r="N15" s="43"/>
      <c r="O15" s="44"/>
      <c r="P15" s="44"/>
      <c r="Q15" s="44"/>
      <c r="R15" s="45"/>
      <c r="S15" s="69">
        <f t="shared" si="0"/>
        <v>0</v>
      </c>
      <c r="T15" s="70">
        <f>ROUNDUP(IF((((F15*60)+G15)-((N15*60)+O15))&gt;0,((( F15*60)+G15)-(( N15*60)+O15)),0)/5,0)</f>
        <v>48</v>
      </c>
      <c r="U15" s="71">
        <f t="shared" si="1"/>
        <v>-48</v>
      </c>
      <c r="V15" s="182"/>
      <c r="W15" s="186"/>
      <c r="X15" s="187"/>
      <c r="Y15" s="187"/>
      <c r="Z15" s="187"/>
      <c r="AA15" s="187"/>
      <c r="AB15" s="187"/>
      <c r="AC15" s="187"/>
      <c r="AD15" s="187"/>
      <c r="AE15" s="187"/>
      <c r="AF15" s="187"/>
      <c r="AG15" s="187"/>
      <c r="AH15" s="187"/>
      <c r="AI15" s="187"/>
      <c r="AJ15" s="187"/>
      <c r="AK15" s="187"/>
      <c r="AL15" s="187"/>
      <c r="AM15" s="187"/>
      <c r="AN15" s="187"/>
      <c r="AO15" s="189"/>
      <c r="AP15" s="187"/>
      <c r="AQ15" s="187"/>
      <c r="AR15" s="187"/>
      <c r="AS15" s="187"/>
    </row>
    <row r="16" spans="1:45" ht="45" customHeight="1" x14ac:dyDescent="0.2">
      <c r="A16" s="50">
        <v>9</v>
      </c>
      <c r="B16" s="51" t="s">
        <v>8</v>
      </c>
      <c r="C16" s="52" t="s">
        <v>88</v>
      </c>
      <c r="D16" s="52" t="s">
        <v>20</v>
      </c>
      <c r="E16" s="52" t="s">
        <v>108</v>
      </c>
      <c r="F16" s="196">
        <v>5</v>
      </c>
      <c r="G16" s="53"/>
      <c r="H16" s="54"/>
      <c r="I16" s="54"/>
      <c r="J16" s="54"/>
      <c r="K16" s="55">
        <f>L16-N$1</f>
        <v>0.41041666666666676</v>
      </c>
      <c r="L16" s="55">
        <f>L12+L2</f>
        <v>0.44166666666666676</v>
      </c>
      <c r="M16" s="56" t="s">
        <v>104</v>
      </c>
      <c r="N16" s="68"/>
      <c r="O16" s="58"/>
      <c r="P16" s="58"/>
      <c r="Q16" s="58"/>
      <c r="R16" s="59"/>
      <c r="S16" s="73">
        <f t="shared" si="0"/>
        <v>0</v>
      </c>
      <c r="T16" s="74">
        <f>ROUNDUP(IF((((F16*60)+G16)-((N16*60)+O16))&gt;0,((( F16*60)+G16)-(( N16*60)+O16)),0)/5,0)</f>
        <v>60</v>
      </c>
      <c r="U16" s="75">
        <f t="shared" si="1"/>
        <v>-60</v>
      </c>
      <c r="V16" s="183"/>
      <c r="W16" s="188"/>
      <c r="X16" s="187"/>
      <c r="Y16" s="187"/>
      <c r="Z16" s="187"/>
      <c r="AA16" s="187"/>
      <c r="AB16" s="187"/>
      <c r="AC16" s="187"/>
      <c r="AD16" s="187"/>
      <c r="AE16" s="187"/>
      <c r="AF16" s="187"/>
      <c r="AG16" s="187"/>
      <c r="AH16" s="187"/>
      <c r="AI16" s="187"/>
      <c r="AJ16" s="187"/>
      <c r="AK16" s="187"/>
      <c r="AL16" s="187"/>
      <c r="AM16" s="187"/>
      <c r="AN16" s="187"/>
      <c r="AO16" s="190"/>
      <c r="AP16" s="187"/>
      <c r="AQ16" s="187"/>
      <c r="AR16" s="187"/>
      <c r="AS16" s="187"/>
    </row>
    <row r="17" spans="1:45" ht="45" customHeight="1" x14ac:dyDescent="0.2">
      <c r="A17" s="37">
        <v>10</v>
      </c>
      <c r="B17" s="38" t="s">
        <v>8</v>
      </c>
      <c r="C17" s="65" t="s">
        <v>88</v>
      </c>
      <c r="D17" s="65" t="s">
        <v>32</v>
      </c>
      <c r="E17" s="65" t="s">
        <v>31</v>
      </c>
      <c r="F17" s="195">
        <v>5</v>
      </c>
      <c r="G17" s="40"/>
      <c r="H17" s="66"/>
      <c r="I17" s="66"/>
      <c r="J17" s="66"/>
      <c r="K17" s="55">
        <f>L17-N$1</f>
        <v>0.41041666666666676</v>
      </c>
      <c r="L17" s="55">
        <f>L16</f>
        <v>0.44166666666666676</v>
      </c>
      <c r="M17" s="67" t="s">
        <v>101</v>
      </c>
      <c r="N17" s="43"/>
      <c r="O17" s="44"/>
      <c r="P17" s="44"/>
      <c r="Q17" s="44"/>
      <c r="R17" s="45"/>
      <c r="S17" s="78">
        <f t="shared" si="0"/>
        <v>0</v>
      </c>
      <c r="T17" s="79">
        <f>ROUNDUP(IF((((F17*60)+G17)-((N17*60)+O17))&gt;0,((( F17*60)+G17)-(( N17*60)+O17)),0)/5,0)</f>
        <v>60</v>
      </c>
      <c r="U17" s="48">
        <f t="shared" si="1"/>
        <v>-60</v>
      </c>
      <c r="V17" s="184"/>
      <c r="W17" s="186"/>
      <c r="X17" s="187"/>
      <c r="Y17" s="187"/>
      <c r="Z17" s="187"/>
      <c r="AA17" s="187"/>
      <c r="AB17" s="187"/>
      <c r="AC17" s="187"/>
      <c r="AD17" s="187"/>
      <c r="AE17" s="187"/>
      <c r="AF17" s="187"/>
      <c r="AG17" s="187"/>
      <c r="AH17" s="187"/>
      <c r="AI17" s="187"/>
      <c r="AJ17" s="187"/>
      <c r="AK17" s="187"/>
      <c r="AL17" s="187"/>
      <c r="AM17" s="187"/>
      <c r="AN17" s="187"/>
      <c r="AO17" s="187"/>
      <c r="AP17" s="187"/>
      <c r="AQ17" s="187"/>
      <c r="AR17" s="187"/>
      <c r="AS17" s="187"/>
    </row>
    <row r="18" spans="1:45" ht="45" customHeight="1" x14ac:dyDescent="0.2">
      <c r="A18" s="50">
        <v>11</v>
      </c>
      <c r="B18" s="51" t="s">
        <v>8</v>
      </c>
      <c r="C18" s="52" t="s">
        <v>109</v>
      </c>
      <c r="D18" s="52" t="s">
        <v>71</v>
      </c>
      <c r="E18" s="52" t="s">
        <v>70</v>
      </c>
      <c r="F18" s="196">
        <v>5.3</v>
      </c>
      <c r="G18" s="53"/>
      <c r="H18" s="54"/>
      <c r="I18" s="54"/>
      <c r="J18" s="54"/>
      <c r="K18" s="55">
        <f>L18-N$1</f>
        <v>0.41041666666666676</v>
      </c>
      <c r="L18" s="55">
        <f>L16</f>
        <v>0.44166666666666676</v>
      </c>
      <c r="M18" s="56" t="s">
        <v>103</v>
      </c>
      <c r="N18" s="68"/>
      <c r="O18" s="58"/>
      <c r="P18" s="58"/>
      <c r="Q18" s="58"/>
      <c r="R18" s="59"/>
      <c r="S18" s="60">
        <f t="shared" si="0"/>
        <v>0</v>
      </c>
      <c r="T18" s="61">
        <f>ROUNDUP(IF((((F18*60)+G18)-((N18*60)+O18))&gt;0,((( F18*60)+G18)-(( N18*60)+O18)),0)/5,0)</f>
        <v>64</v>
      </c>
      <c r="U18" s="62">
        <f t="shared" si="1"/>
        <v>-64</v>
      </c>
      <c r="V18" s="185"/>
      <c r="W18" s="188"/>
      <c r="X18" s="187"/>
      <c r="Y18" s="187"/>
      <c r="Z18" s="187"/>
      <c r="AA18" s="187"/>
      <c r="AB18" s="187"/>
      <c r="AC18" s="187"/>
      <c r="AD18" s="187"/>
      <c r="AE18" s="187"/>
      <c r="AF18" s="187"/>
      <c r="AG18" s="187"/>
      <c r="AH18" s="187"/>
      <c r="AI18" s="187"/>
      <c r="AJ18" s="187"/>
      <c r="AK18" s="187"/>
      <c r="AL18" s="187"/>
      <c r="AM18" s="187"/>
      <c r="AN18" s="187"/>
      <c r="AO18" s="187"/>
      <c r="AP18" s="187"/>
      <c r="AQ18" s="187"/>
      <c r="AR18" s="187"/>
      <c r="AS18" s="187"/>
    </row>
    <row r="19" spans="1:45" x14ac:dyDescent="0.2">
      <c r="E19" s="10"/>
      <c r="J19" s="8"/>
      <c r="K19" s="172"/>
      <c r="T19" s="8"/>
      <c r="X19" s="7"/>
      <c r="Y19" s="7"/>
      <c r="AF19" s="7"/>
      <c r="AG19" s="7"/>
      <c r="AH19" s="7"/>
      <c r="AO19" s="84"/>
    </row>
    <row r="20" spans="1:45" ht="17" customHeight="1" thickBot="1" x14ac:dyDescent="0.25">
      <c r="A20" s="174" t="s">
        <v>80</v>
      </c>
      <c r="E20" s="10"/>
      <c r="J20" s="8"/>
      <c r="K20" s="172"/>
      <c r="T20" s="8"/>
      <c r="AF20" s="7"/>
      <c r="AG20" s="7"/>
      <c r="AH20" s="7"/>
      <c r="AO20" s="84"/>
    </row>
    <row r="21" spans="1:45" ht="55.25" customHeight="1" thickBot="1" x14ac:dyDescent="0.25">
      <c r="A21" s="11"/>
      <c r="B21" s="12"/>
      <c r="C21" s="12"/>
      <c r="D21" s="149"/>
      <c r="E21" s="150"/>
      <c r="F21" s="160" t="s">
        <v>81</v>
      </c>
      <c r="G21" s="149"/>
      <c r="H21" s="149"/>
      <c r="I21" s="149"/>
      <c r="J21" s="150"/>
      <c r="K21" s="154" t="s">
        <v>110</v>
      </c>
      <c r="L21" s="152"/>
      <c r="M21" s="152"/>
      <c r="N21" s="152"/>
      <c r="O21" s="152"/>
      <c r="P21" s="152"/>
      <c r="Q21" s="152"/>
      <c r="R21" s="152"/>
      <c r="S21" s="152"/>
      <c r="T21" s="153"/>
      <c r="U21" s="163" t="s">
        <v>82</v>
      </c>
      <c r="V21" s="153"/>
    </row>
    <row r="22" spans="1:45" ht="111" customHeight="1" thickBot="1" x14ac:dyDescent="0.35">
      <c r="A22" s="203"/>
      <c r="B22" s="14" t="s">
        <v>83</v>
      </c>
      <c r="C22" s="15" t="s">
        <v>84</v>
      </c>
      <c r="D22" s="15" t="s">
        <v>0</v>
      </c>
      <c r="E22" s="16" t="s">
        <v>85</v>
      </c>
      <c r="F22" s="159" t="s">
        <v>21</v>
      </c>
      <c r="G22" s="150"/>
      <c r="H22" s="85" t="s">
        <v>4</v>
      </c>
      <c r="I22" s="86" t="s">
        <v>13</v>
      </c>
      <c r="J22" s="87" t="s">
        <v>24</v>
      </c>
      <c r="K22" s="168" t="s">
        <v>91</v>
      </c>
      <c r="L22" s="169" t="s">
        <v>92</v>
      </c>
      <c r="M22" s="18" t="s">
        <v>111</v>
      </c>
      <c r="N22" s="18" t="s">
        <v>112</v>
      </c>
      <c r="O22" s="19" t="s">
        <v>113</v>
      </c>
      <c r="P22" s="89" t="s">
        <v>114</v>
      </c>
      <c r="Q22" s="19" t="s">
        <v>96</v>
      </c>
      <c r="R22" s="90" t="s">
        <v>97</v>
      </c>
      <c r="S22" s="18" t="s">
        <v>98</v>
      </c>
      <c r="T22" s="88" t="s">
        <v>115</v>
      </c>
      <c r="U22" s="15" t="s">
        <v>87</v>
      </c>
      <c r="V22" s="16" t="s">
        <v>99</v>
      </c>
      <c r="W22" s="91"/>
    </row>
    <row r="23" spans="1:45" ht="36" customHeight="1" x14ac:dyDescent="0.2">
      <c r="A23" s="23"/>
      <c r="B23" s="92"/>
      <c r="C23" s="92"/>
      <c r="D23" s="25" t="s">
        <v>116</v>
      </c>
      <c r="E23" s="25"/>
      <c r="F23" s="194"/>
      <c r="G23" s="26"/>
      <c r="H23" s="93"/>
      <c r="I23" s="94"/>
      <c r="J23" s="27"/>
      <c r="K23" s="173">
        <f>L23-N$1</f>
        <v>0.42083333333333328</v>
      </c>
      <c r="L23" s="173">
        <v>0.45208333333333328</v>
      </c>
      <c r="M23" s="95" t="s">
        <v>104</v>
      </c>
      <c r="N23" s="92"/>
      <c r="O23" s="96"/>
      <c r="P23" s="96"/>
      <c r="Q23" s="96"/>
      <c r="R23" s="97"/>
      <c r="S23" s="98">
        <f>IF(N23&lt;I23,(I23-N23)/2,0)</f>
        <v>0</v>
      </c>
      <c r="T23" s="33"/>
      <c r="U23" s="34">
        <f t="shared" ref="U23:U55" si="2">IF(N23="DQ",0,N23/2-R23-S23-T23)</f>
        <v>0</v>
      </c>
      <c r="V23" s="35"/>
      <c r="W23" s="36"/>
      <c r="AO23" s="76"/>
    </row>
    <row r="24" spans="1:45" ht="36" customHeight="1" x14ac:dyDescent="0.2">
      <c r="A24" s="37"/>
      <c r="B24" s="38"/>
      <c r="C24" s="38"/>
      <c r="D24" s="39" t="s">
        <v>117</v>
      </c>
      <c r="E24" s="39"/>
      <c r="F24" s="195"/>
      <c r="G24" s="40"/>
      <c r="H24" s="99"/>
      <c r="I24" s="100"/>
      <c r="J24" s="41"/>
      <c r="K24" s="110">
        <f>L24-N$1</f>
        <v>0.42083333333333328</v>
      </c>
      <c r="L24" s="110">
        <f>L23</f>
        <v>0.45208333333333328</v>
      </c>
      <c r="M24" s="67" t="s">
        <v>101</v>
      </c>
      <c r="N24" s="65"/>
      <c r="O24" s="101"/>
      <c r="P24" s="101"/>
      <c r="Q24" s="101"/>
      <c r="R24" s="102"/>
      <c r="S24" s="103">
        <f>IF(N24&lt;I24,(I24-N24)/2,0)</f>
        <v>0</v>
      </c>
      <c r="T24" s="47"/>
      <c r="U24" s="48">
        <f t="shared" si="2"/>
        <v>0</v>
      </c>
      <c r="V24" s="49"/>
      <c r="W24" s="36"/>
      <c r="AF24" s="81"/>
      <c r="AG24" s="81"/>
      <c r="AH24" s="81"/>
      <c r="AO24" s="76"/>
    </row>
    <row r="25" spans="1:45" ht="36" customHeight="1" x14ac:dyDescent="0.2">
      <c r="A25" s="50">
        <v>1</v>
      </c>
      <c r="B25" s="51" t="s">
        <v>8</v>
      </c>
      <c r="C25" s="52" t="s">
        <v>88</v>
      </c>
      <c r="D25" s="52" t="s">
        <v>10</v>
      </c>
      <c r="E25" s="52" t="s">
        <v>9</v>
      </c>
      <c r="F25" s="196"/>
      <c r="G25" s="53"/>
      <c r="H25" s="104"/>
      <c r="I25" s="105">
        <v>1</v>
      </c>
      <c r="J25" s="54"/>
      <c r="K25" s="106">
        <f>L25-N$1</f>
        <v>0.42638888888888882</v>
      </c>
      <c r="L25" s="106">
        <f>L23+Y2</f>
        <v>0.45763888888888882</v>
      </c>
      <c r="M25" s="56" t="s">
        <v>104</v>
      </c>
      <c r="N25" s="52"/>
      <c r="O25" s="107"/>
      <c r="P25" s="107"/>
      <c r="Q25" s="107"/>
      <c r="R25" s="108"/>
      <c r="S25" s="109">
        <f>IF(N25&lt;H25,(H25-N25)/2,0)</f>
        <v>0</v>
      </c>
      <c r="T25" s="61"/>
      <c r="U25" s="62">
        <f t="shared" si="2"/>
        <v>0</v>
      </c>
      <c r="V25" s="63"/>
      <c r="W25" s="64"/>
      <c r="AF25" s="80"/>
      <c r="AG25" s="80"/>
      <c r="AH25" s="80"/>
      <c r="AO25" s="77"/>
    </row>
    <row r="26" spans="1:45" ht="36" customHeight="1" x14ac:dyDescent="0.2">
      <c r="A26" s="37">
        <v>2</v>
      </c>
      <c r="B26" s="38" t="s">
        <v>8</v>
      </c>
      <c r="C26" s="65" t="s">
        <v>88</v>
      </c>
      <c r="D26" s="65" t="s">
        <v>19</v>
      </c>
      <c r="E26" s="65" t="s">
        <v>18</v>
      </c>
      <c r="F26" s="195"/>
      <c r="G26" s="40"/>
      <c r="H26" s="104"/>
      <c r="I26" s="105">
        <v>1</v>
      </c>
      <c r="J26" s="66"/>
      <c r="K26" s="110">
        <f>L26-N$1</f>
        <v>0.42638888888888882</v>
      </c>
      <c r="L26" s="110">
        <f>L25</f>
        <v>0.45763888888888882</v>
      </c>
      <c r="M26" s="67" t="s">
        <v>101</v>
      </c>
      <c r="N26" s="65"/>
      <c r="O26" s="101"/>
      <c r="P26" s="101"/>
      <c r="Q26" s="101"/>
      <c r="R26" s="102"/>
      <c r="S26" s="103">
        <f>IF(N26&lt;H26,(H26-N26)/2,0)</f>
        <v>0</v>
      </c>
      <c r="T26" s="47"/>
      <c r="U26" s="48">
        <f t="shared" si="2"/>
        <v>0</v>
      </c>
      <c r="V26" s="49"/>
      <c r="W26" s="36"/>
      <c r="AO26" s="76"/>
    </row>
    <row r="27" spans="1:45" ht="36" customHeight="1" x14ac:dyDescent="0.2">
      <c r="A27" s="50">
        <v>3</v>
      </c>
      <c r="B27" s="51" t="s">
        <v>3</v>
      </c>
      <c r="C27" s="52" t="s">
        <v>118</v>
      </c>
      <c r="D27" s="52" t="s">
        <v>65</v>
      </c>
      <c r="E27" s="52" t="s">
        <v>64</v>
      </c>
      <c r="F27" s="196"/>
      <c r="G27" s="53"/>
      <c r="H27" s="104">
        <v>1</v>
      </c>
      <c r="I27" s="105"/>
      <c r="J27" s="54"/>
      <c r="K27" s="106">
        <f>L27-N$1</f>
        <v>0.43194444444444435</v>
      </c>
      <c r="L27" s="106">
        <f>L25+Y2</f>
        <v>0.46319444444444435</v>
      </c>
      <c r="M27" s="56" t="s">
        <v>104</v>
      </c>
      <c r="N27" s="52"/>
      <c r="O27" s="107"/>
      <c r="P27" s="107"/>
      <c r="Q27" s="107"/>
      <c r="R27" s="108"/>
      <c r="S27" s="109">
        <f>IF(N27&lt;I27,(I27-N27)/2,0)</f>
        <v>0</v>
      </c>
      <c r="T27" s="61"/>
      <c r="U27" s="62">
        <f t="shared" si="2"/>
        <v>0</v>
      </c>
      <c r="V27" s="63"/>
      <c r="W27" s="64"/>
      <c r="AO27" s="77"/>
    </row>
    <row r="28" spans="1:45" ht="36" customHeight="1" x14ac:dyDescent="0.2">
      <c r="A28" s="37">
        <v>4</v>
      </c>
      <c r="B28" s="38" t="s">
        <v>8</v>
      </c>
      <c r="C28" s="65" t="s">
        <v>88</v>
      </c>
      <c r="D28" s="65" t="s">
        <v>52</v>
      </c>
      <c r="E28" s="65" t="s">
        <v>51</v>
      </c>
      <c r="F28" s="195"/>
      <c r="G28" s="40"/>
      <c r="H28" s="104"/>
      <c r="I28" s="105">
        <v>25</v>
      </c>
      <c r="J28" s="66"/>
      <c r="K28" s="110">
        <f>L28-N$1</f>
        <v>0.43194444444444435</v>
      </c>
      <c r="L28" s="110">
        <f>L27</f>
        <v>0.46319444444444435</v>
      </c>
      <c r="M28" s="67" t="s">
        <v>101</v>
      </c>
      <c r="N28" s="65"/>
      <c r="O28" s="101"/>
      <c r="P28" s="101"/>
      <c r="Q28" s="101"/>
      <c r="R28" s="102"/>
      <c r="S28" s="103">
        <f>IF(N28&lt;I28,(I28-N28)/2,0)</f>
        <v>12.5</v>
      </c>
      <c r="T28" s="47"/>
      <c r="U28" s="48">
        <f t="shared" si="2"/>
        <v>-12.5</v>
      </c>
      <c r="V28" s="49"/>
      <c r="W28" s="36"/>
      <c r="AF28" s="81"/>
      <c r="AG28" s="81"/>
      <c r="AH28" s="81"/>
      <c r="AO28" s="76"/>
    </row>
    <row r="29" spans="1:45" ht="36" customHeight="1" x14ac:dyDescent="0.2">
      <c r="A29" s="50">
        <v>5</v>
      </c>
      <c r="B29" s="51" t="s">
        <v>8</v>
      </c>
      <c r="C29" s="52" t="s">
        <v>105</v>
      </c>
      <c r="D29" s="52" t="s">
        <v>61</v>
      </c>
      <c r="E29" s="52" t="s">
        <v>60</v>
      </c>
      <c r="F29" s="196"/>
      <c r="G29" s="53"/>
      <c r="H29" s="104">
        <v>25</v>
      </c>
      <c r="I29" s="105"/>
      <c r="J29" s="54"/>
      <c r="K29" s="106">
        <f>L29-N$1</f>
        <v>0.43749999999999989</v>
      </c>
      <c r="L29" s="106">
        <f>L27+Y2</f>
        <v>0.46874999999999989</v>
      </c>
      <c r="M29" s="56" t="s">
        <v>104</v>
      </c>
      <c r="N29" s="52"/>
      <c r="O29" s="107"/>
      <c r="P29" s="107"/>
      <c r="Q29" s="107"/>
      <c r="R29" s="108"/>
      <c r="S29" s="109">
        <f>IF(N29&lt;I29,(I29-N29)/2,0)</f>
        <v>0</v>
      </c>
      <c r="T29" s="61"/>
      <c r="U29" s="62">
        <f t="shared" si="2"/>
        <v>0</v>
      </c>
      <c r="V29" s="63"/>
      <c r="W29" s="64"/>
      <c r="AO29" s="77"/>
    </row>
    <row r="30" spans="1:45" ht="36" customHeight="1" x14ac:dyDescent="0.2">
      <c r="A30" s="37">
        <v>6</v>
      </c>
      <c r="B30" s="38" t="s">
        <v>8</v>
      </c>
      <c r="C30" s="65" t="s">
        <v>88</v>
      </c>
      <c r="D30" s="65" t="s">
        <v>12</v>
      </c>
      <c r="E30" s="65" t="s">
        <v>11</v>
      </c>
      <c r="F30" s="195"/>
      <c r="G30" s="40"/>
      <c r="H30" s="104"/>
      <c r="I30" s="105">
        <v>50</v>
      </c>
      <c r="J30" s="66"/>
      <c r="K30" s="110">
        <f>L30-N$1</f>
        <v>0.43749999999999989</v>
      </c>
      <c r="L30" s="110">
        <f>L29</f>
        <v>0.46874999999999989</v>
      </c>
      <c r="M30" s="67" t="s">
        <v>101</v>
      </c>
      <c r="N30" s="65"/>
      <c r="O30" s="101"/>
      <c r="P30" s="101"/>
      <c r="Q30" s="101"/>
      <c r="R30" s="102"/>
      <c r="S30" s="103">
        <f>IF(N30&lt;H30,(H30-N30)/2,0)</f>
        <v>0</v>
      </c>
      <c r="T30" s="47"/>
      <c r="U30" s="48">
        <f t="shared" si="2"/>
        <v>0</v>
      </c>
      <c r="V30" s="49"/>
      <c r="W30" s="36"/>
    </row>
    <row r="31" spans="1:45" ht="36" customHeight="1" x14ac:dyDescent="0.2">
      <c r="A31" s="50">
        <v>7</v>
      </c>
      <c r="B31" s="51" t="s">
        <v>3</v>
      </c>
      <c r="C31" s="52" t="s">
        <v>88</v>
      </c>
      <c r="D31" s="52" t="s">
        <v>37</v>
      </c>
      <c r="E31" s="52" t="s">
        <v>25</v>
      </c>
      <c r="F31" s="196"/>
      <c r="G31" s="53"/>
      <c r="H31" s="104">
        <v>50</v>
      </c>
      <c r="I31" s="105"/>
      <c r="J31" s="54"/>
      <c r="K31" s="106">
        <f>L31-N$1</f>
        <v>0.44305555555555542</v>
      </c>
      <c r="L31" s="106">
        <f>L29+Y2</f>
        <v>0.47430555555555542</v>
      </c>
      <c r="M31" s="56" t="s">
        <v>104</v>
      </c>
      <c r="N31" s="52"/>
      <c r="O31" s="107"/>
      <c r="P31" s="107"/>
      <c r="Q31" s="107"/>
      <c r="R31" s="108"/>
      <c r="S31" s="109">
        <f>IF(N31&lt;H31,(H31-N31)/2,0)</f>
        <v>25</v>
      </c>
      <c r="T31" s="61"/>
      <c r="U31" s="62">
        <f t="shared" si="2"/>
        <v>-25</v>
      </c>
      <c r="V31" s="63"/>
      <c r="W31" s="64"/>
    </row>
    <row r="32" spans="1:45" ht="36" customHeight="1" x14ac:dyDescent="0.2">
      <c r="A32" s="37">
        <v>8</v>
      </c>
      <c r="B32" s="38" t="s">
        <v>3</v>
      </c>
      <c r="C32" s="65" t="s">
        <v>88</v>
      </c>
      <c r="D32" s="65" t="s">
        <v>48</v>
      </c>
      <c r="E32" s="65" t="s">
        <v>119</v>
      </c>
      <c r="F32" s="195"/>
      <c r="G32" s="40"/>
      <c r="H32" s="104"/>
      <c r="I32" s="105">
        <v>50</v>
      </c>
      <c r="J32" s="66"/>
      <c r="K32" s="110">
        <f>L32-N$1</f>
        <v>0.44305555555555542</v>
      </c>
      <c r="L32" s="110">
        <f>L31</f>
        <v>0.47430555555555542</v>
      </c>
      <c r="M32" s="67" t="s">
        <v>101</v>
      </c>
      <c r="N32" s="65"/>
      <c r="O32" s="101"/>
      <c r="P32" s="101"/>
      <c r="Q32" s="101"/>
      <c r="R32" s="102"/>
      <c r="S32" s="103">
        <f>IF(N32&lt;H32,(H32-N32)/2,0)</f>
        <v>0</v>
      </c>
      <c r="T32" s="47"/>
      <c r="U32" s="48">
        <f t="shared" si="2"/>
        <v>0</v>
      </c>
      <c r="V32" s="49"/>
      <c r="W32" s="36"/>
      <c r="AO32" s="76"/>
    </row>
    <row r="33" spans="1:41" ht="36" customHeight="1" x14ac:dyDescent="0.2">
      <c r="A33" s="50">
        <v>9</v>
      </c>
      <c r="B33" s="51" t="s">
        <v>8</v>
      </c>
      <c r="C33" s="52" t="s">
        <v>88</v>
      </c>
      <c r="D33" s="52" t="s">
        <v>15</v>
      </c>
      <c r="E33" s="52" t="s">
        <v>14</v>
      </c>
      <c r="F33" s="196"/>
      <c r="G33" s="53"/>
      <c r="H33" s="104">
        <v>50</v>
      </c>
      <c r="I33" s="105"/>
      <c r="J33" s="54"/>
      <c r="K33" s="106">
        <f>L33-N$1</f>
        <v>0.44861111111111096</v>
      </c>
      <c r="L33" s="106">
        <f>L31+Y2</f>
        <v>0.47986111111111096</v>
      </c>
      <c r="M33" s="56" t="s">
        <v>104</v>
      </c>
      <c r="N33" s="52"/>
      <c r="O33" s="107"/>
      <c r="P33" s="107"/>
      <c r="Q33" s="107"/>
      <c r="R33" s="108"/>
      <c r="S33" s="109">
        <f>IF(N33&lt;I33,(I33-N33)/2,0)</f>
        <v>0</v>
      </c>
      <c r="T33" s="111"/>
      <c r="U33" s="112">
        <f t="shared" si="2"/>
        <v>0</v>
      </c>
      <c r="V33" s="113"/>
      <c r="W33" s="64"/>
      <c r="AO33" s="77"/>
    </row>
    <row r="34" spans="1:41" ht="36" customHeight="1" x14ac:dyDescent="0.2">
      <c r="A34" s="37">
        <v>10</v>
      </c>
      <c r="B34" s="38" t="s">
        <v>8</v>
      </c>
      <c r="C34" s="65" t="s">
        <v>88</v>
      </c>
      <c r="D34" s="65" t="s">
        <v>36</v>
      </c>
      <c r="E34" s="65" t="s">
        <v>35</v>
      </c>
      <c r="F34" s="195"/>
      <c r="G34" s="40"/>
      <c r="H34" s="104"/>
      <c r="I34" s="105">
        <v>50</v>
      </c>
      <c r="J34" s="66"/>
      <c r="K34" s="110">
        <f>L34-N$1</f>
        <v>0.44861111111111096</v>
      </c>
      <c r="L34" s="110">
        <f>L33</f>
        <v>0.47986111111111096</v>
      </c>
      <c r="M34" s="67" t="s">
        <v>101</v>
      </c>
      <c r="N34" s="65"/>
      <c r="O34" s="101"/>
      <c r="P34" s="101"/>
      <c r="Q34" s="101"/>
      <c r="R34" s="102"/>
      <c r="S34" s="103">
        <f>IF(N34&lt;H34,(H34-N34)/2,0)</f>
        <v>0</v>
      </c>
      <c r="T34" s="47"/>
      <c r="U34" s="48">
        <f t="shared" si="2"/>
        <v>0</v>
      </c>
      <c r="V34" s="49"/>
      <c r="W34" s="36"/>
      <c r="AO34" s="76"/>
    </row>
    <row r="35" spans="1:41" ht="36" customHeight="1" x14ac:dyDescent="0.2">
      <c r="A35" s="50">
        <v>11</v>
      </c>
      <c r="B35" s="51" t="s">
        <v>8</v>
      </c>
      <c r="C35" s="52" t="s">
        <v>88</v>
      </c>
      <c r="D35" s="52" t="s">
        <v>30</v>
      </c>
      <c r="E35" s="52" t="s">
        <v>29</v>
      </c>
      <c r="F35" s="196"/>
      <c r="G35" s="53"/>
      <c r="H35" s="104"/>
      <c r="I35" s="105">
        <v>50</v>
      </c>
      <c r="J35" s="54"/>
      <c r="K35" s="106">
        <f>L35-N$1</f>
        <v>0.4541666666666665</v>
      </c>
      <c r="L35" s="106">
        <f>L33+Y2</f>
        <v>0.4854166666666665</v>
      </c>
      <c r="M35" s="56" t="s">
        <v>104</v>
      </c>
      <c r="N35" s="52"/>
      <c r="O35" s="107"/>
      <c r="P35" s="107"/>
      <c r="Q35" s="107"/>
      <c r="R35" s="108"/>
      <c r="S35" s="109">
        <f>IF(N35&lt;H35,(H35-N35)/2,0)</f>
        <v>0</v>
      </c>
      <c r="T35" s="61"/>
      <c r="U35" s="62">
        <f t="shared" si="2"/>
        <v>0</v>
      </c>
      <c r="V35" s="63"/>
      <c r="W35" s="64"/>
      <c r="AO35" s="77"/>
    </row>
    <row r="36" spans="1:41" ht="36" customHeight="1" x14ac:dyDescent="0.2">
      <c r="A36" s="37">
        <v>12</v>
      </c>
      <c r="B36" s="65" t="s">
        <v>8</v>
      </c>
      <c r="C36" s="65" t="s">
        <v>88</v>
      </c>
      <c r="D36" s="65" t="s">
        <v>50</v>
      </c>
      <c r="E36" s="65" t="s">
        <v>49</v>
      </c>
      <c r="F36" s="195"/>
      <c r="G36" s="40"/>
      <c r="H36" s="104"/>
      <c r="I36" s="105">
        <v>50</v>
      </c>
      <c r="J36" s="66"/>
      <c r="K36" s="110">
        <f>L36-N$1</f>
        <v>0.4541666666666665</v>
      </c>
      <c r="L36" s="110">
        <f>L35</f>
        <v>0.4854166666666665</v>
      </c>
      <c r="M36" s="67" t="s">
        <v>101</v>
      </c>
      <c r="N36" s="65"/>
      <c r="O36" s="101"/>
      <c r="P36" s="101"/>
      <c r="Q36" s="101"/>
      <c r="R36" s="102"/>
      <c r="S36" s="103">
        <f>IF(N36&lt;H36,(H36-N36)/2,0)</f>
        <v>0</v>
      </c>
      <c r="T36" s="47"/>
      <c r="U36" s="48">
        <f t="shared" si="2"/>
        <v>0</v>
      </c>
      <c r="V36" s="49"/>
      <c r="W36" s="36"/>
    </row>
    <row r="37" spans="1:41" ht="36" customHeight="1" x14ac:dyDescent="0.2">
      <c r="A37" s="50">
        <v>13</v>
      </c>
      <c r="B37" s="51" t="s">
        <v>3</v>
      </c>
      <c r="C37" s="52" t="s">
        <v>88</v>
      </c>
      <c r="D37" s="52" t="s">
        <v>56</v>
      </c>
      <c r="E37" s="52" t="s">
        <v>55</v>
      </c>
      <c r="F37" s="196"/>
      <c r="G37" s="53"/>
      <c r="H37" s="104">
        <v>50</v>
      </c>
      <c r="I37" s="105"/>
      <c r="J37" s="54"/>
      <c r="K37" s="106">
        <f>L37-N$1</f>
        <v>0.45972222222222203</v>
      </c>
      <c r="L37" s="106">
        <f>L35+Y2</f>
        <v>0.49097222222222203</v>
      </c>
      <c r="M37" s="56" t="s">
        <v>104</v>
      </c>
      <c r="N37" s="52"/>
      <c r="O37" s="107"/>
      <c r="P37" s="107"/>
      <c r="Q37" s="107"/>
      <c r="R37" s="108"/>
      <c r="S37" s="109">
        <f>IF(N37&lt;I37,(I37-N37)/2,0)</f>
        <v>0</v>
      </c>
      <c r="T37" s="61"/>
      <c r="U37" s="62">
        <f t="shared" si="2"/>
        <v>0</v>
      </c>
      <c r="V37" s="63"/>
      <c r="W37" s="64"/>
    </row>
    <row r="38" spans="1:41" ht="36" customHeight="1" x14ac:dyDescent="0.2">
      <c r="A38" s="37">
        <v>14</v>
      </c>
      <c r="B38" s="38" t="s">
        <v>8</v>
      </c>
      <c r="C38" s="65" t="s">
        <v>88</v>
      </c>
      <c r="D38" s="65" t="s">
        <v>7</v>
      </c>
      <c r="E38" s="65" t="s">
        <v>120</v>
      </c>
      <c r="F38" s="195"/>
      <c r="G38" s="40"/>
      <c r="H38" s="104"/>
      <c r="I38" s="105">
        <v>66</v>
      </c>
      <c r="J38" s="66"/>
      <c r="K38" s="110">
        <f>L38-N$1</f>
        <v>0.45972222222222203</v>
      </c>
      <c r="L38" s="110">
        <f>L37</f>
        <v>0.49097222222222203</v>
      </c>
      <c r="M38" s="67" t="s">
        <v>101</v>
      </c>
      <c r="N38" s="65"/>
      <c r="O38" s="101"/>
      <c r="P38" s="101"/>
      <c r="Q38" s="101"/>
      <c r="R38" s="102"/>
      <c r="S38" s="103">
        <f>IF(N38&lt;I38,(I38-N38)/2,0)</f>
        <v>33</v>
      </c>
      <c r="T38" s="47"/>
      <c r="U38" s="48">
        <f t="shared" si="2"/>
        <v>-33</v>
      </c>
      <c r="V38" s="49"/>
      <c r="W38" s="36"/>
    </row>
    <row r="39" spans="1:41" ht="36" customHeight="1" x14ac:dyDescent="0.2">
      <c r="A39" s="50">
        <v>15</v>
      </c>
      <c r="B39" s="51" t="s">
        <v>8</v>
      </c>
      <c r="C39" s="52" t="s">
        <v>121</v>
      </c>
      <c r="D39" s="52" t="s">
        <v>122</v>
      </c>
      <c r="E39" s="52" t="s">
        <v>123</v>
      </c>
      <c r="F39" s="196"/>
      <c r="G39" s="53"/>
      <c r="H39" s="104">
        <v>70</v>
      </c>
      <c r="I39" s="105"/>
      <c r="J39" s="54"/>
      <c r="K39" s="106">
        <f>L39-N$1</f>
        <v>0.46527777777777757</v>
      </c>
      <c r="L39" s="106">
        <f>L37+Y2</f>
        <v>0.49652777777777757</v>
      </c>
      <c r="M39" s="56" t="s">
        <v>104</v>
      </c>
      <c r="N39" s="52"/>
      <c r="O39" s="107"/>
      <c r="P39" s="107"/>
      <c r="Q39" s="107"/>
      <c r="R39" s="108"/>
      <c r="S39" s="109">
        <f>IF(N39&lt;I39,(I39-N39)/2,0)</f>
        <v>0</v>
      </c>
      <c r="T39" s="61"/>
      <c r="U39" s="62">
        <f t="shared" si="2"/>
        <v>0</v>
      </c>
      <c r="V39" s="63"/>
      <c r="W39" s="64"/>
    </row>
    <row r="40" spans="1:41" ht="36" customHeight="1" x14ac:dyDescent="0.2">
      <c r="A40" s="37">
        <v>16</v>
      </c>
      <c r="B40" s="38" t="s">
        <v>8</v>
      </c>
      <c r="C40" s="65" t="s">
        <v>88</v>
      </c>
      <c r="D40" s="65" t="s">
        <v>54</v>
      </c>
      <c r="E40" s="65" t="s">
        <v>53</v>
      </c>
      <c r="F40" s="195"/>
      <c r="G40" s="40"/>
      <c r="H40" s="104"/>
      <c r="I40" s="105">
        <v>75</v>
      </c>
      <c r="J40" s="66"/>
      <c r="K40" s="110">
        <f>L40-N$1</f>
        <v>0.46527777777777757</v>
      </c>
      <c r="L40" s="110">
        <f>L39</f>
        <v>0.49652777777777757</v>
      </c>
      <c r="M40" s="67" t="s">
        <v>101</v>
      </c>
      <c r="N40" s="65"/>
      <c r="O40" s="101"/>
      <c r="P40" s="101"/>
      <c r="Q40" s="101"/>
      <c r="R40" s="102"/>
      <c r="S40" s="103">
        <f>IF(N40&lt;I40,(I40-N40)/2,0)</f>
        <v>37.5</v>
      </c>
      <c r="T40" s="47"/>
      <c r="U40" s="48">
        <f t="shared" si="2"/>
        <v>-37.5</v>
      </c>
      <c r="V40" s="49"/>
      <c r="W40" s="36"/>
    </row>
    <row r="41" spans="1:41" ht="36" customHeight="1" x14ac:dyDescent="0.2">
      <c r="A41" s="50">
        <v>17</v>
      </c>
      <c r="B41" s="51" t="s">
        <v>3</v>
      </c>
      <c r="C41" s="52" t="s">
        <v>107</v>
      </c>
      <c r="D41" s="52" t="s">
        <v>67</v>
      </c>
      <c r="E41" s="52" t="s">
        <v>66</v>
      </c>
      <c r="F41" s="196"/>
      <c r="G41" s="53"/>
      <c r="H41" s="104"/>
      <c r="I41" s="105">
        <v>75</v>
      </c>
      <c r="J41" s="54"/>
      <c r="K41" s="106">
        <f>L41-N$1</f>
        <v>0.4708333333333331</v>
      </c>
      <c r="L41" s="106">
        <f>L39+Y2</f>
        <v>0.5020833333333331</v>
      </c>
      <c r="M41" s="56" t="s">
        <v>104</v>
      </c>
      <c r="N41" s="52"/>
      <c r="O41" s="107"/>
      <c r="P41" s="107"/>
      <c r="Q41" s="107"/>
      <c r="R41" s="108"/>
      <c r="S41" s="109">
        <f>IF(N41&lt;I41,(I41-N41)/2,0)</f>
        <v>37.5</v>
      </c>
      <c r="T41" s="61"/>
      <c r="U41" s="62">
        <f t="shared" si="2"/>
        <v>-37.5</v>
      </c>
      <c r="V41" s="63"/>
      <c r="W41" s="64"/>
    </row>
    <row r="42" spans="1:41" ht="36" customHeight="1" x14ac:dyDescent="0.2">
      <c r="A42" s="37">
        <v>18</v>
      </c>
      <c r="B42" s="38" t="s">
        <v>3</v>
      </c>
      <c r="C42" s="65" t="s">
        <v>88</v>
      </c>
      <c r="D42" s="65" t="s">
        <v>28</v>
      </c>
      <c r="E42" s="65" t="s">
        <v>27</v>
      </c>
      <c r="F42" s="195"/>
      <c r="G42" s="40"/>
      <c r="H42" s="104"/>
      <c r="I42" s="105">
        <v>76</v>
      </c>
      <c r="J42" s="66"/>
      <c r="K42" s="110">
        <f>L42-N$1</f>
        <v>0.4708333333333331</v>
      </c>
      <c r="L42" s="110">
        <f>L41</f>
        <v>0.5020833333333331</v>
      </c>
      <c r="M42" s="67" t="s">
        <v>101</v>
      </c>
      <c r="N42" s="65"/>
      <c r="O42" s="101"/>
      <c r="P42" s="101"/>
      <c r="Q42" s="101"/>
      <c r="R42" s="102"/>
      <c r="S42" s="103">
        <f>IF(N42&lt;I42,(I42-N42)/2,0)</f>
        <v>38</v>
      </c>
      <c r="T42" s="47"/>
      <c r="U42" s="48">
        <f t="shared" si="2"/>
        <v>-38</v>
      </c>
      <c r="V42" s="49"/>
      <c r="W42" s="36"/>
    </row>
    <row r="43" spans="1:41" ht="36" customHeight="1" x14ac:dyDescent="0.2">
      <c r="A43" s="50">
        <v>19</v>
      </c>
      <c r="B43" s="51" t="s">
        <v>8</v>
      </c>
      <c r="C43" s="52" t="s">
        <v>88</v>
      </c>
      <c r="D43" s="52" t="s">
        <v>23</v>
      </c>
      <c r="E43" s="52" t="s">
        <v>22</v>
      </c>
      <c r="F43" s="196"/>
      <c r="G43" s="53"/>
      <c r="H43" s="104"/>
      <c r="I43" s="105">
        <v>80</v>
      </c>
      <c r="J43" s="54"/>
      <c r="K43" s="106">
        <f>L43-N$1</f>
        <v>0.47638888888888864</v>
      </c>
      <c r="L43" s="106">
        <f>L41+Y2</f>
        <v>0.50763888888888864</v>
      </c>
      <c r="M43" s="56" t="s">
        <v>104</v>
      </c>
      <c r="N43" s="52"/>
      <c r="O43" s="107"/>
      <c r="P43" s="107"/>
      <c r="Q43" s="107"/>
      <c r="R43" s="108"/>
      <c r="S43" s="109">
        <f>IF(N43&lt;I43,(I43-N43)/2,0)</f>
        <v>40</v>
      </c>
      <c r="T43" s="61"/>
      <c r="U43" s="62">
        <f t="shared" si="2"/>
        <v>-40</v>
      </c>
      <c r="V43" s="63"/>
      <c r="W43" s="64"/>
    </row>
    <row r="44" spans="1:41" ht="36" customHeight="1" x14ac:dyDescent="0.2">
      <c r="A44" s="37">
        <v>20</v>
      </c>
      <c r="B44" s="38" t="s">
        <v>8</v>
      </c>
      <c r="C44" s="65" t="s">
        <v>88</v>
      </c>
      <c r="D44" s="65" t="s">
        <v>43</v>
      </c>
      <c r="E44" s="65" t="s">
        <v>42</v>
      </c>
      <c r="F44" s="195"/>
      <c r="G44" s="40"/>
      <c r="H44" s="104"/>
      <c r="I44" s="105">
        <v>100</v>
      </c>
      <c r="J44" s="66"/>
      <c r="K44" s="110">
        <f>L44-N$1</f>
        <v>0.47638888888888864</v>
      </c>
      <c r="L44" s="110">
        <f>L43</f>
        <v>0.50763888888888864</v>
      </c>
      <c r="M44" s="67" t="s">
        <v>101</v>
      </c>
      <c r="N44" s="65"/>
      <c r="O44" s="101"/>
      <c r="P44" s="101"/>
      <c r="Q44" s="101"/>
      <c r="R44" s="102"/>
      <c r="S44" s="103">
        <f>IF(N44&lt;I44,(I44-N44)/2,0)</f>
        <v>50</v>
      </c>
      <c r="T44" s="47"/>
      <c r="U44" s="48">
        <f t="shared" si="2"/>
        <v>-50</v>
      </c>
      <c r="V44" s="49"/>
      <c r="W44" s="36"/>
    </row>
    <row r="45" spans="1:41" ht="36" customHeight="1" x14ac:dyDescent="0.2">
      <c r="A45" s="50">
        <v>21</v>
      </c>
      <c r="B45" s="51" t="s">
        <v>3</v>
      </c>
      <c r="C45" s="52" t="s">
        <v>88</v>
      </c>
      <c r="D45" s="52" t="s">
        <v>59</v>
      </c>
      <c r="E45" s="52" t="s">
        <v>58</v>
      </c>
      <c r="F45" s="196"/>
      <c r="G45" s="53"/>
      <c r="H45" s="104"/>
      <c r="I45" s="105">
        <v>100</v>
      </c>
      <c r="J45" s="54"/>
      <c r="K45" s="106">
        <f>L45-N$1</f>
        <v>0.48194444444444418</v>
      </c>
      <c r="L45" s="106">
        <f>L43+Y2</f>
        <v>0.51319444444444418</v>
      </c>
      <c r="M45" s="56" t="s">
        <v>104</v>
      </c>
      <c r="N45" s="52"/>
      <c r="O45" s="107"/>
      <c r="P45" s="107"/>
      <c r="Q45" s="107"/>
      <c r="R45" s="108"/>
      <c r="S45" s="109">
        <f>IF(N45&lt;I45,(I45-N45)/2,0)</f>
        <v>50</v>
      </c>
      <c r="T45" s="61"/>
      <c r="U45" s="62">
        <f t="shared" si="2"/>
        <v>-50</v>
      </c>
      <c r="V45" s="63"/>
      <c r="W45" s="64"/>
    </row>
    <row r="46" spans="1:41" ht="36" customHeight="1" x14ac:dyDescent="0.2">
      <c r="A46" s="37">
        <v>22</v>
      </c>
      <c r="B46" s="38" t="s">
        <v>8</v>
      </c>
      <c r="C46" s="65" t="s">
        <v>88</v>
      </c>
      <c r="D46" s="65" t="s">
        <v>26</v>
      </c>
      <c r="E46" s="65" t="s">
        <v>25</v>
      </c>
      <c r="F46" s="195"/>
      <c r="G46" s="40"/>
      <c r="H46" s="104">
        <v>100</v>
      </c>
      <c r="I46" s="105"/>
      <c r="J46" s="66"/>
      <c r="K46" s="110">
        <f>L46-N$1</f>
        <v>0.48194444444444418</v>
      </c>
      <c r="L46" s="110">
        <f>L45</f>
        <v>0.51319444444444418</v>
      </c>
      <c r="M46" s="67" t="s">
        <v>101</v>
      </c>
      <c r="N46" s="65"/>
      <c r="O46" s="101"/>
      <c r="P46" s="101"/>
      <c r="Q46" s="101"/>
      <c r="R46" s="102"/>
      <c r="S46" s="103">
        <f>IF(N46&lt;H46,(H46-N46)/2,0)</f>
        <v>50</v>
      </c>
      <c r="T46" s="47"/>
      <c r="U46" s="48">
        <f t="shared" si="2"/>
        <v>-50</v>
      </c>
      <c r="V46" s="49"/>
      <c r="W46" s="36"/>
    </row>
    <row r="47" spans="1:41" ht="36" customHeight="1" x14ac:dyDescent="0.2">
      <c r="A47" s="50">
        <v>23</v>
      </c>
      <c r="B47" s="51" t="s">
        <v>3</v>
      </c>
      <c r="C47" s="52" t="s">
        <v>88</v>
      </c>
      <c r="D47" s="52" t="s">
        <v>6</v>
      </c>
      <c r="E47" s="52" t="s">
        <v>5</v>
      </c>
      <c r="F47" s="196"/>
      <c r="G47" s="53"/>
      <c r="H47" s="104"/>
      <c r="I47" s="105">
        <v>100</v>
      </c>
      <c r="J47" s="54"/>
      <c r="K47" s="106">
        <f>L47-N$1</f>
        <v>0.48749999999999971</v>
      </c>
      <c r="L47" s="106">
        <f>L45+Y2</f>
        <v>0.51874999999999971</v>
      </c>
      <c r="M47" s="56" t="s">
        <v>104</v>
      </c>
      <c r="N47" s="52"/>
      <c r="O47" s="107"/>
      <c r="P47" s="107"/>
      <c r="Q47" s="107"/>
      <c r="R47" s="108"/>
      <c r="S47" s="109">
        <f>IF(N47&lt;H47,(H47-N47)/2,0)</f>
        <v>0</v>
      </c>
      <c r="T47" s="61"/>
      <c r="U47" s="62">
        <f t="shared" si="2"/>
        <v>0</v>
      </c>
      <c r="V47" s="63"/>
      <c r="W47" s="64"/>
    </row>
    <row r="48" spans="1:41" ht="36" customHeight="1" x14ac:dyDescent="0.2">
      <c r="A48" s="37">
        <v>24</v>
      </c>
      <c r="B48" s="38" t="s">
        <v>8</v>
      </c>
      <c r="C48" s="65" t="s">
        <v>124</v>
      </c>
      <c r="D48" s="65" t="s">
        <v>73</v>
      </c>
      <c r="E48" s="65" t="s">
        <v>72</v>
      </c>
      <c r="F48" s="195"/>
      <c r="G48" s="40"/>
      <c r="H48" s="104"/>
      <c r="I48" s="105">
        <v>100</v>
      </c>
      <c r="J48" s="66"/>
      <c r="K48" s="110">
        <f>L48-N$1</f>
        <v>0.48749999999999971</v>
      </c>
      <c r="L48" s="110">
        <f>L47</f>
        <v>0.51874999999999971</v>
      </c>
      <c r="M48" s="67" t="s">
        <v>101</v>
      </c>
      <c r="N48" s="65"/>
      <c r="O48" s="101"/>
      <c r="P48" s="101"/>
      <c r="Q48" s="101"/>
      <c r="R48" s="102"/>
      <c r="S48" s="103">
        <f>IF(N48&lt;I48,(I48-N48)/2,0)</f>
        <v>50</v>
      </c>
      <c r="T48" s="47"/>
      <c r="U48" s="48">
        <f t="shared" si="2"/>
        <v>-50</v>
      </c>
      <c r="V48" s="49"/>
      <c r="W48" s="36"/>
    </row>
    <row r="49" spans="1:23" ht="36" customHeight="1" x14ac:dyDescent="0.2">
      <c r="A49" s="50">
        <v>25</v>
      </c>
      <c r="B49" s="51" t="s">
        <v>8</v>
      </c>
      <c r="C49" s="52" t="s">
        <v>88</v>
      </c>
      <c r="D49" s="52" t="s">
        <v>17</v>
      </c>
      <c r="E49" s="52" t="s">
        <v>16</v>
      </c>
      <c r="F49" s="196"/>
      <c r="G49" s="53"/>
      <c r="H49" s="104">
        <v>100</v>
      </c>
      <c r="I49" s="105"/>
      <c r="J49" s="54"/>
      <c r="K49" s="106">
        <f>L49-N$1</f>
        <v>0.49305555555555525</v>
      </c>
      <c r="L49" s="106">
        <f>L47+Y2</f>
        <v>0.52430555555555525</v>
      </c>
      <c r="M49" s="56" t="s">
        <v>104</v>
      </c>
      <c r="N49" s="52"/>
      <c r="O49" s="107"/>
      <c r="P49" s="107"/>
      <c r="Q49" s="107"/>
      <c r="R49" s="108"/>
      <c r="S49" s="109">
        <f>IF(N49&lt;I49,(I49-N49)/2,0)</f>
        <v>0</v>
      </c>
      <c r="T49" s="61"/>
      <c r="U49" s="62">
        <f t="shared" si="2"/>
        <v>0</v>
      </c>
      <c r="V49" s="63"/>
      <c r="W49" s="64"/>
    </row>
    <row r="50" spans="1:23" ht="36" customHeight="1" x14ac:dyDescent="0.2">
      <c r="A50" s="37">
        <v>26</v>
      </c>
      <c r="B50" s="38" t="s">
        <v>8</v>
      </c>
      <c r="C50" s="65" t="s">
        <v>118</v>
      </c>
      <c r="D50" s="65" t="s">
        <v>75</v>
      </c>
      <c r="E50" s="65" t="s">
        <v>74</v>
      </c>
      <c r="F50" s="195"/>
      <c r="G50" s="40"/>
      <c r="H50" s="104"/>
      <c r="I50" s="105">
        <v>100</v>
      </c>
      <c r="J50" s="66"/>
      <c r="K50" s="110">
        <f>L50-N$1</f>
        <v>0.49305555555555525</v>
      </c>
      <c r="L50" s="110">
        <f>L49</f>
        <v>0.52430555555555525</v>
      </c>
      <c r="M50" s="67" t="s">
        <v>101</v>
      </c>
      <c r="N50" s="65"/>
      <c r="O50" s="101"/>
      <c r="P50" s="101"/>
      <c r="Q50" s="101"/>
      <c r="R50" s="102"/>
      <c r="S50" s="103">
        <f>IF(N50&lt;I50,(I50-N50)/2,0)</f>
        <v>50</v>
      </c>
      <c r="T50" s="47"/>
      <c r="U50" s="48">
        <f t="shared" si="2"/>
        <v>-50</v>
      </c>
      <c r="V50" s="49"/>
      <c r="W50" s="36"/>
    </row>
    <row r="51" spans="1:23" ht="36" customHeight="1" x14ac:dyDescent="0.2">
      <c r="A51" s="50">
        <v>27</v>
      </c>
      <c r="B51" s="51" t="s">
        <v>8</v>
      </c>
      <c r="C51" s="52" t="s">
        <v>88</v>
      </c>
      <c r="D51" s="52" t="s">
        <v>20</v>
      </c>
      <c r="E51" s="52" t="s">
        <v>108</v>
      </c>
      <c r="F51" s="196"/>
      <c r="G51" s="53"/>
      <c r="H51" s="104">
        <v>125</v>
      </c>
      <c r="I51" s="105"/>
      <c r="J51" s="54"/>
      <c r="K51" s="106">
        <f>L51-N$1</f>
        <v>0.49861111111111078</v>
      </c>
      <c r="L51" s="106">
        <f>L49+Y2</f>
        <v>0.52986111111111078</v>
      </c>
      <c r="M51" s="56" t="s">
        <v>104</v>
      </c>
      <c r="N51" s="52"/>
      <c r="O51" s="107"/>
      <c r="P51" s="107"/>
      <c r="Q51" s="107"/>
      <c r="R51" s="108"/>
      <c r="S51" s="109">
        <f>IF(N51&lt;I51,(I51-N51)/2,0)</f>
        <v>0</v>
      </c>
      <c r="T51" s="61"/>
      <c r="U51" s="62">
        <f t="shared" si="2"/>
        <v>0</v>
      </c>
      <c r="V51" s="63"/>
      <c r="W51" s="64"/>
    </row>
    <row r="52" spans="1:23" ht="36" customHeight="1" x14ac:dyDescent="0.2">
      <c r="A52" s="37">
        <v>28</v>
      </c>
      <c r="B52" s="38" t="s">
        <v>8</v>
      </c>
      <c r="C52" s="65" t="s">
        <v>88</v>
      </c>
      <c r="D52" s="65" t="s">
        <v>34</v>
      </c>
      <c r="E52" s="65" t="s">
        <v>33</v>
      </c>
      <c r="F52" s="195"/>
      <c r="G52" s="40"/>
      <c r="H52" s="104"/>
      <c r="I52" s="105">
        <v>125</v>
      </c>
      <c r="J52" s="66"/>
      <c r="K52" s="110">
        <f>L52-N$1</f>
        <v>0.49861111111111078</v>
      </c>
      <c r="L52" s="110">
        <f>L51</f>
        <v>0.52986111111111078</v>
      </c>
      <c r="M52" s="67" t="s">
        <v>101</v>
      </c>
      <c r="N52" s="65"/>
      <c r="O52" s="101"/>
      <c r="P52" s="101"/>
      <c r="Q52" s="101"/>
      <c r="R52" s="102"/>
      <c r="S52" s="103">
        <f>IF(N52&lt;I52,(I52-N52)/2,0)</f>
        <v>62.5</v>
      </c>
      <c r="T52" s="47"/>
      <c r="U52" s="48">
        <f t="shared" si="2"/>
        <v>-62.5</v>
      </c>
      <c r="V52" s="49"/>
      <c r="W52" s="36"/>
    </row>
    <row r="53" spans="1:23" ht="36" customHeight="1" x14ac:dyDescent="0.2">
      <c r="A53" s="50">
        <v>29</v>
      </c>
      <c r="B53" s="51" t="s">
        <v>8</v>
      </c>
      <c r="C53" s="52" t="s">
        <v>109</v>
      </c>
      <c r="D53" s="52" t="s">
        <v>71</v>
      </c>
      <c r="E53" s="52" t="s">
        <v>70</v>
      </c>
      <c r="F53" s="196"/>
      <c r="G53" s="53"/>
      <c r="H53" s="104">
        <v>125</v>
      </c>
      <c r="I53" s="105"/>
      <c r="J53" s="54"/>
      <c r="K53" s="106">
        <f>L53-N$1</f>
        <v>0.50416666666666632</v>
      </c>
      <c r="L53" s="106">
        <f>L51+Y2</f>
        <v>0.53541666666666632</v>
      </c>
      <c r="M53" s="56" t="s">
        <v>104</v>
      </c>
      <c r="N53" s="52"/>
      <c r="O53" s="107"/>
      <c r="P53" s="107"/>
      <c r="Q53" s="107"/>
      <c r="R53" s="108"/>
      <c r="S53" s="109">
        <f>IF(N53&lt;H53,(H53-N53)/2,0)</f>
        <v>62.5</v>
      </c>
      <c r="T53" s="61"/>
      <c r="U53" s="62">
        <f t="shared" si="2"/>
        <v>-62.5</v>
      </c>
      <c r="V53" s="63"/>
      <c r="W53" s="64"/>
    </row>
    <row r="54" spans="1:23" ht="36" customHeight="1" x14ac:dyDescent="0.2">
      <c r="A54" s="37">
        <v>30</v>
      </c>
      <c r="B54" s="38" t="s">
        <v>8</v>
      </c>
      <c r="C54" s="65" t="s">
        <v>88</v>
      </c>
      <c r="D54" s="65" t="s">
        <v>32</v>
      </c>
      <c r="E54" s="65" t="s">
        <v>31</v>
      </c>
      <c r="F54" s="195"/>
      <c r="G54" s="40"/>
      <c r="H54" s="104">
        <v>128</v>
      </c>
      <c r="I54" s="105"/>
      <c r="J54" s="66"/>
      <c r="K54" s="110">
        <f>L54-N$1</f>
        <v>0.50416666666666632</v>
      </c>
      <c r="L54" s="110">
        <f>L53</f>
        <v>0.53541666666666632</v>
      </c>
      <c r="M54" s="67" t="s">
        <v>101</v>
      </c>
      <c r="N54" s="65"/>
      <c r="O54" s="101"/>
      <c r="P54" s="101"/>
      <c r="Q54" s="101"/>
      <c r="R54" s="102"/>
      <c r="S54" s="103">
        <f>IF(N54&lt;I54,(I54-N54)/2,0)</f>
        <v>0</v>
      </c>
      <c r="T54" s="47"/>
      <c r="U54" s="48">
        <f t="shared" si="2"/>
        <v>0</v>
      </c>
      <c r="V54" s="49"/>
      <c r="W54" s="36"/>
    </row>
    <row r="55" spans="1:23" ht="36" customHeight="1" x14ac:dyDescent="0.2">
      <c r="A55" s="50">
        <v>31</v>
      </c>
      <c r="B55" s="51" t="s">
        <v>3</v>
      </c>
      <c r="C55" s="52" t="s">
        <v>88</v>
      </c>
      <c r="D55" s="52" t="s">
        <v>2</v>
      </c>
      <c r="E55" s="52" t="s">
        <v>1</v>
      </c>
      <c r="F55" s="196"/>
      <c r="G55" s="53"/>
      <c r="H55" s="104">
        <v>135</v>
      </c>
      <c r="I55" s="105"/>
      <c r="J55" s="54"/>
      <c r="K55" s="106">
        <f>L55-N$1</f>
        <v>0.50972222222222185</v>
      </c>
      <c r="L55" s="106">
        <f>L53+Y2</f>
        <v>0.54097222222222185</v>
      </c>
      <c r="M55" s="56" t="s">
        <v>104</v>
      </c>
      <c r="N55" s="52"/>
      <c r="O55" s="107"/>
      <c r="P55" s="107"/>
      <c r="Q55" s="107"/>
      <c r="R55" s="108"/>
      <c r="S55" s="109">
        <f>IF(N55&lt;I55,(I55-N55)/2,0)</f>
        <v>0</v>
      </c>
      <c r="T55" s="61"/>
      <c r="U55" s="62">
        <f t="shared" si="2"/>
        <v>0</v>
      </c>
      <c r="V55" s="63"/>
      <c r="W55" s="64"/>
    </row>
    <row r="56" spans="1:23" ht="17" customHeight="1" thickBot="1" x14ac:dyDescent="0.25">
      <c r="A56" s="174" t="s">
        <v>80</v>
      </c>
      <c r="E56" s="10"/>
      <c r="J56" s="8"/>
      <c r="K56" s="172"/>
      <c r="T56" s="8"/>
    </row>
    <row r="57" spans="1:23" ht="55.25" customHeight="1" thickBot="1" x14ac:dyDescent="0.25">
      <c r="A57" s="11"/>
      <c r="B57" s="12"/>
      <c r="C57" s="115"/>
      <c r="D57" s="152"/>
      <c r="E57" s="153"/>
      <c r="F57" s="162" t="s">
        <v>81</v>
      </c>
      <c r="G57" s="152"/>
      <c r="H57" s="152"/>
      <c r="I57" s="152"/>
      <c r="J57" s="153"/>
      <c r="K57" s="156" t="s">
        <v>24</v>
      </c>
      <c r="L57" s="152"/>
      <c r="M57" s="152"/>
      <c r="N57" s="152"/>
      <c r="O57" s="152"/>
      <c r="P57" s="152"/>
      <c r="Q57" s="152"/>
      <c r="R57" s="152"/>
      <c r="S57" s="152"/>
      <c r="T57" s="157"/>
      <c r="U57" s="158" t="s">
        <v>82</v>
      </c>
      <c r="V57" s="153"/>
    </row>
    <row r="58" spans="1:23" ht="111" customHeight="1" thickBot="1" x14ac:dyDescent="0.35">
      <c r="A58" s="204"/>
      <c r="B58" s="116" t="s">
        <v>83</v>
      </c>
      <c r="C58" s="18" t="s">
        <v>84</v>
      </c>
      <c r="D58" s="18" t="s">
        <v>0</v>
      </c>
      <c r="E58" s="19" t="s">
        <v>85</v>
      </c>
      <c r="F58" s="159" t="s">
        <v>21</v>
      </c>
      <c r="G58" s="150"/>
      <c r="H58" s="18" t="s">
        <v>4</v>
      </c>
      <c r="I58" s="18" t="s">
        <v>13</v>
      </c>
      <c r="J58" s="117" t="s">
        <v>24</v>
      </c>
      <c r="K58" s="168" t="s">
        <v>91</v>
      </c>
      <c r="L58" s="169" t="s">
        <v>92</v>
      </c>
      <c r="M58" s="18" t="s">
        <v>111</v>
      </c>
      <c r="N58" s="18" t="s">
        <v>125</v>
      </c>
      <c r="O58" s="18" t="s">
        <v>113</v>
      </c>
      <c r="P58" s="18" t="s">
        <v>114</v>
      </c>
      <c r="Q58" s="19" t="s">
        <v>96</v>
      </c>
      <c r="R58" s="18" t="s">
        <v>97</v>
      </c>
      <c r="S58" s="18" t="s">
        <v>98</v>
      </c>
      <c r="T58" s="88" t="s">
        <v>115</v>
      </c>
      <c r="U58" s="18" t="s">
        <v>87</v>
      </c>
      <c r="V58" s="88" t="s">
        <v>99</v>
      </c>
      <c r="W58" s="91"/>
    </row>
    <row r="59" spans="1:23" ht="45" customHeight="1" x14ac:dyDescent="0.2">
      <c r="A59" s="23"/>
      <c r="B59" s="118"/>
      <c r="C59" s="118"/>
      <c r="D59" s="25" t="s">
        <v>116</v>
      </c>
      <c r="E59" s="25"/>
      <c r="F59" s="198"/>
      <c r="G59" s="26"/>
      <c r="H59" s="26"/>
      <c r="I59" s="119"/>
      <c r="J59" s="119"/>
      <c r="K59" s="120">
        <f t="shared" ref="K59:K85" si="3">L59-N$1</f>
        <v>0.56180555555555556</v>
      </c>
      <c r="L59" s="120">
        <v>0.59305555555555556</v>
      </c>
      <c r="M59" s="120" t="s">
        <v>104</v>
      </c>
      <c r="N59" s="118"/>
      <c r="O59" s="96"/>
      <c r="P59" s="96"/>
      <c r="Q59" s="96"/>
      <c r="R59" s="121"/>
      <c r="S59" s="122">
        <f>IF(N59&lt;J59,(J59-N59)/2,0)</f>
        <v>0</v>
      </c>
      <c r="T59" s="121"/>
      <c r="U59" s="123">
        <f t="shared" ref="U59:U85" si="4">IF(N59="DQ",0,N59/2-R59-S59-T59)</f>
        <v>0</v>
      </c>
      <c r="V59" s="124"/>
    </row>
    <row r="60" spans="1:23" ht="45" customHeight="1" x14ac:dyDescent="0.2">
      <c r="A60" s="37"/>
      <c r="B60" s="39"/>
      <c r="C60" s="39"/>
      <c r="D60" s="39" t="s">
        <v>117</v>
      </c>
      <c r="E60" s="39"/>
      <c r="F60" s="199"/>
      <c r="G60" s="40"/>
      <c r="H60" s="40"/>
      <c r="I60" s="125"/>
      <c r="J60" s="125"/>
      <c r="K60" s="126">
        <f t="shared" si="3"/>
        <v>0.56180555555555556</v>
      </c>
      <c r="L60" s="126">
        <f>L59</f>
        <v>0.59305555555555556</v>
      </c>
      <c r="M60" s="126" t="s">
        <v>101</v>
      </c>
      <c r="N60" s="127"/>
      <c r="O60" s="101"/>
      <c r="P60" s="101"/>
      <c r="Q60" s="101"/>
      <c r="R60" s="128"/>
      <c r="S60" s="129">
        <f>IF(N60&lt;J60,(J60-N60)/2,0)</f>
        <v>0</v>
      </c>
      <c r="T60" s="128"/>
      <c r="U60" s="130">
        <f t="shared" si="4"/>
        <v>0</v>
      </c>
      <c r="V60" s="131"/>
    </row>
    <row r="61" spans="1:23" ht="45" customHeight="1" x14ac:dyDescent="0.2">
      <c r="A61" s="50">
        <v>1</v>
      </c>
      <c r="B61" s="132" t="s">
        <v>8</v>
      </c>
      <c r="C61" s="133" t="s">
        <v>88</v>
      </c>
      <c r="D61" s="133" t="s">
        <v>19</v>
      </c>
      <c r="E61" s="133" t="s">
        <v>18</v>
      </c>
      <c r="F61" s="200"/>
      <c r="G61" s="53"/>
      <c r="H61" s="134"/>
      <c r="I61" s="134"/>
      <c r="J61" s="134">
        <v>1</v>
      </c>
      <c r="K61" s="135">
        <f t="shared" si="3"/>
        <v>0.56736111111111109</v>
      </c>
      <c r="L61" s="135">
        <f>L59+Y2</f>
        <v>0.59861111111111109</v>
      </c>
      <c r="M61" s="135" t="s">
        <v>104</v>
      </c>
      <c r="N61" s="133"/>
      <c r="O61" s="107"/>
      <c r="P61" s="107"/>
      <c r="Q61" s="107"/>
      <c r="R61" s="136"/>
      <c r="S61" s="137">
        <f>IF(N61&lt;J61,(J61-N61)/2,0)</f>
        <v>0.5</v>
      </c>
      <c r="T61" s="136"/>
      <c r="U61" s="138">
        <f t="shared" si="4"/>
        <v>-0.5</v>
      </c>
      <c r="V61" s="139"/>
      <c r="W61" s="140"/>
    </row>
    <row r="62" spans="1:23" ht="45" customHeight="1" x14ac:dyDescent="0.2">
      <c r="A62" s="37">
        <v>2</v>
      </c>
      <c r="B62" s="39" t="s">
        <v>3</v>
      </c>
      <c r="C62" s="127" t="s">
        <v>88</v>
      </c>
      <c r="D62" s="127" t="s">
        <v>39</v>
      </c>
      <c r="E62" s="127" t="s">
        <v>38</v>
      </c>
      <c r="F62" s="199"/>
      <c r="G62" s="40"/>
      <c r="H62" s="125"/>
      <c r="I62" s="125"/>
      <c r="J62" s="125">
        <v>1</v>
      </c>
      <c r="K62" s="126">
        <f t="shared" si="3"/>
        <v>0.56736111111111109</v>
      </c>
      <c r="L62" s="126">
        <f>L61</f>
        <v>0.59861111111111109</v>
      </c>
      <c r="M62" s="126" t="s">
        <v>101</v>
      </c>
      <c r="N62" s="127"/>
      <c r="O62" s="101"/>
      <c r="P62" s="101"/>
      <c r="Q62" s="101"/>
      <c r="R62" s="128"/>
      <c r="S62" s="129">
        <f>IF(N62&lt;J62,(J62-N62)/2,0)</f>
        <v>0.5</v>
      </c>
      <c r="T62" s="128"/>
      <c r="U62" s="130">
        <f t="shared" si="4"/>
        <v>-0.5</v>
      </c>
      <c r="V62" s="131"/>
      <c r="W62" s="2"/>
    </row>
    <row r="63" spans="1:23" ht="45" customHeight="1" x14ac:dyDescent="0.2">
      <c r="A63" s="50">
        <v>3</v>
      </c>
      <c r="B63" s="132" t="s">
        <v>3</v>
      </c>
      <c r="C63" s="133" t="s">
        <v>118</v>
      </c>
      <c r="D63" s="133" t="s">
        <v>63</v>
      </c>
      <c r="E63" s="133" t="s">
        <v>62</v>
      </c>
      <c r="F63" s="200"/>
      <c r="G63" s="53"/>
      <c r="H63" s="134"/>
      <c r="I63" s="134"/>
      <c r="J63" s="134">
        <v>10</v>
      </c>
      <c r="K63" s="135">
        <f t="shared" si="3"/>
        <v>0.57291666666666663</v>
      </c>
      <c r="L63" s="135">
        <f>L61+Y2</f>
        <v>0.60416666666666663</v>
      </c>
      <c r="M63" s="135" t="s">
        <v>104</v>
      </c>
      <c r="N63" s="133"/>
      <c r="O63" s="107"/>
      <c r="P63" s="107"/>
      <c r="Q63" s="107"/>
      <c r="R63" s="136"/>
      <c r="S63" s="137">
        <f>IF(N63&lt;J63,(J63-N63)/2,0)</f>
        <v>5</v>
      </c>
      <c r="T63" s="136"/>
      <c r="U63" s="138">
        <f t="shared" si="4"/>
        <v>-5</v>
      </c>
      <c r="V63" s="139"/>
      <c r="W63" s="140"/>
    </row>
    <row r="64" spans="1:23" ht="45" customHeight="1" x14ac:dyDescent="0.2">
      <c r="A64" s="37">
        <v>4</v>
      </c>
      <c r="B64" s="39" t="s">
        <v>8</v>
      </c>
      <c r="C64" s="127" t="s">
        <v>88</v>
      </c>
      <c r="D64" s="127" t="s">
        <v>52</v>
      </c>
      <c r="E64" s="127" t="s">
        <v>51</v>
      </c>
      <c r="F64" s="199"/>
      <c r="G64" s="40"/>
      <c r="H64" s="125"/>
      <c r="I64" s="125"/>
      <c r="J64" s="125">
        <v>25</v>
      </c>
      <c r="K64" s="126">
        <f t="shared" si="3"/>
        <v>0.57291666666666663</v>
      </c>
      <c r="L64" s="126">
        <f>L63</f>
        <v>0.60416666666666663</v>
      </c>
      <c r="M64" s="126" t="s">
        <v>101</v>
      </c>
      <c r="N64" s="127"/>
      <c r="O64" s="101"/>
      <c r="P64" s="101"/>
      <c r="Q64" s="101"/>
      <c r="R64" s="128"/>
      <c r="S64" s="129">
        <f>IF(N64&lt;J64,(J64-N64)/2,0)</f>
        <v>12.5</v>
      </c>
      <c r="T64" s="128"/>
      <c r="U64" s="130">
        <f t="shared" si="4"/>
        <v>-12.5</v>
      </c>
      <c r="V64" s="131"/>
      <c r="W64" s="2"/>
    </row>
    <row r="65" spans="1:23" ht="45" customHeight="1" x14ac:dyDescent="0.2">
      <c r="A65" s="50">
        <v>5</v>
      </c>
      <c r="B65" s="132" t="s">
        <v>8</v>
      </c>
      <c r="C65" s="133" t="s">
        <v>88</v>
      </c>
      <c r="D65" s="133" t="s">
        <v>36</v>
      </c>
      <c r="E65" s="133" t="s">
        <v>35</v>
      </c>
      <c r="F65" s="200"/>
      <c r="G65" s="53"/>
      <c r="H65" s="134"/>
      <c r="I65" s="134"/>
      <c r="J65" s="134">
        <v>35</v>
      </c>
      <c r="K65" s="135">
        <f t="shared" si="3"/>
        <v>0.57847222222222217</v>
      </c>
      <c r="L65" s="135">
        <f>L63+Y2</f>
        <v>0.60972222222222217</v>
      </c>
      <c r="M65" s="135" t="s">
        <v>104</v>
      </c>
      <c r="N65" s="133"/>
      <c r="O65" s="107"/>
      <c r="P65" s="107"/>
      <c r="Q65" s="107"/>
      <c r="R65" s="136"/>
      <c r="S65" s="137">
        <f>IF(N65&lt;J65,(J65-N65)/2,0)</f>
        <v>17.5</v>
      </c>
      <c r="T65" s="136"/>
      <c r="U65" s="138">
        <f t="shared" si="4"/>
        <v>-17.5</v>
      </c>
      <c r="V65" s="139"/>
      <c r="W65" s="140"/>
    </row>
    <row r="66" spans="1:23" ht="45" customHeight="1" x14ac:dyDescent="0.2">
      <c r="A66" s="37">
        <v>6</v>
      </c>
      <c r="B66" s="39" t="s">
        <v>3</v>
      </c>
      <c r="C66" s="127" t="s">
        <v>88</v>
      </c>
      <c r="D66" s="127" t="s">
        <v>48</v>
      </c>
      <c r="E66" s="127" t="s">
        <v>119</v>
      </c>
      <c r="F66" s="199"/>
      <c r="G66" s="40"/>
      <c r="H66" s="125"/>
      <c r="I66" s="125"/>
      <c r="J66" s="125">
        <v>40</v>
      </c>
      <c r="K66" s="126">
        <f t="shared" si="3"/>
        <v>0.57847222222222217</v>
      </c>
      <c r="L66" s="126">
        <f>L65</f>
        <v>0.60972222222222217</v>
      </c>
      <c r="M66" s="126" t="s">
        <v>101</v>
      </c>
      <c r="N66" s="127"/>
      <c r="O66" s="101"/>
      <c r="P66" s="101"/>
      <c r="Q66" s="101"/>
      <c r="R66" s="128"/>
      <c r="S66" s="129">
        <f>IF(N66&lt;J66,(J66-N66)/2,0)</f>
        <v>20</v>
      </c>
      <c r="T66" s="128"/>
      <c r="U66" s="130">
        <f t="shared" si="4"/>
        <v>-20</v>
      </c>
      <c r="V66" s="131"/>
      <c r="W66" s="2"/>
    </row>
    <row r="67" spans="1:23" ht="45" customHeight="1" x14ac:dyDescent="0.2">
      <c r="A67" s="50">
        <v>7</v>
      </c>
      <c r="B67" s="132" t="s">
        <v>8</v>
      </c>
      <c r="C67" s="133" t="s">
        <v>88</v>
      </c>
      <c r="D67" s="133" t="s">
        <v>7</v>
      </c>
      <c r="E67" s="133" t="s">
        <v>120</v>
      </c>
      <c r="F67" s="200"/>
      <c r="G67" s="53"/>
      <c r="H67" s="134"/>
      <c r="I67" s="134"/>
      <c r="J67" s="134">
        <v>40</v>
      </c>
      <c r="K67" s="135">
        <f t="shared" si="3"/>
        <v>0.5840277777777777</v>
      </c>
      <c r="L67" s="135">
        <f>L65+Y2</f>
        <v>0.6152777777777777</v>
      </c>
      <c r="M67" s="135" t="s">
        <v>104</v>
      </c>
      <c r="N67" s="133"/>
      <c r="O67" s="107"/>
      <c r="P67" s="107"/>
      <c r="Q67" s="107"/>
      <c r="R67" s="136"/>
      <c r="S67" s="137">
        <f>IF(N67&lt;J67,(J67-N67)/2,0)</f>
        <v>20</v>
      </c>
      <c r="T67" s="136"/>
      <c r="U67" s="138">
        <f t="shared" si="4"/>
        <v>-20</v>
      </c>
      <c r="V67" s="139"/>
      <c r="W67" s="140"/>
    </row>
    <row r="68" spans="1:23" ht="45" customHeight="1" x14ac:dyDescent="0.2">
      <c r="A68" s="37">
        <v>8</v>
      </c>
      <c r="B68" s="39" t="s">
        <v>3</v>
      </c>
      <c r="C68" s="127" t="s">
        <v>88</v>
      </c>
      <c r="D68" s="127" t="s">
        <v>56</v>
      </c>
      <c r="E68" s="127" t="s">
        <v>55</v>
      </c>
      <c r="F68" s="199"/>
      <c r="G68" s="40"/>
      <c r="H68" s="125"/>
      <c r="I68" s="125"/>
      <c r="J68" s="125">
        <v>40</v>
      </c>
      <c r="K68" s="126">
        <f t="shared" si="3"/>
        <v>0.5840277777777777</v>
      </c>
      <c r="L68" s="126">
        <f>L67</f>
        <v>0.6152777777777777</v>
      </c>
      <c r="M68" s="126" t="s">
        <v>101</v>
      </c>
      <c r="N68" s="127"/>
      <c r="O68" s="101"/>
      <c r="P68" s="101"/>
      <c r="Q68" s="101"/>
      <c r="R68" s="128"/>
      <c r="S68" s="129">
        <f>IF(N68&lt;J68,(J68-N68)/2,0)</f>
        <v>20</v>
      </c>
      <c r="T68" s="128"/>
      <c r="U68" s="130">
        <f t="shared" si="4"/>
        <v>-20</v>
      </c>
      <c r="V68" s="131"/>
      <c r="W68" s="2"/>
    </row>
    <row r="69" spans="1:23" ht="45" customHeight="1" x14ac:dyDescent="0.2">
      <c r="A69" s="50">
        <v>9</v>
      </c>
      <c r="B69" s="132" t="s">
        <v>8</v>
      </c>
      <c r="C69" s="133" t="s">
        <v>88</v>
      </c>
      <c r="D69" s="133" t="s">
        <v>43</v>
      </c>
      <c r="E69" s="133" t="s">
        <v>42</v>
      </c>
      <c r="F69" s="200"/>
      <c r="G69" s="53"/>
      <c r="H69" s="134"/>
      <c r="I69" s="134"/>
      <c r="J69" s="134">
        <v>50</v>
      </c>
      <c r="K69" s="135">
        <f t="shared" si="3"/>
        <v>0.58958333333333324</v>
      </c>
      <c r="L69" s="135">
        <f>L67+Y2</f>
        <v>0.62083333333333324</v>
      </c>
      <c r="M69" s="135" t="s">
        <v>104</v>
      </c>
      <c r="N69" s="133"/>
      <c r="O69" s="107"/>
      <c r="P69" s="107"/>
      <c r="Q69" s="107"/>
      <c r="R69" s="136"/>
      <c r="S69" s="137">
        <f>IF(N69&lt;J69,(J69-N69)/2,0)</f>
        <v>25</v>
      </c>
      <c r="T69" s="136"/>
      <c r="U69" s="138">
        <f t="shared" si="4"/>
        <v>-25</v>
      </c>
      <c r="V69" s="139"/>
      <c r="W69" s="140"/>
    </row>
    <row r="70" spans="1:23" ht="45" customHeight="1" x14ac:dyDescent="0.2">
      <c r="A70" s="37">
        <v>10</v>
      </c>
      <c r="B70" s="39" t="s">
        <v>3</v>
      </c>
      <c r="C70" s="127" t="s">
        <v>88</v>
      </c>
      <c r="D70" s="127" t="s">
        <v>37</v>
      </c>
      <c r="E70" s="127" t="s">
        <v>25</v>
      </c>
      <c r="F70" s="199"/>
      <c r="G70" s="40"/>
      <c r="H70" s="125"/>
      <c r="I70" s="125"/>
      <c r="J70" s="125">
        <v>50</v>
      </c>
      <c r="K70" s="126">
        <f t="shared" si="3"/>
        <v>0.58958333333333324</v>
      </c>
      <c r="L70" s="126">
        <f>L69</f>
        <v>0.62083333333333324</v>
      </c>
      <c r="M70" s="126" t="s">
        <v>101</v>
      </c>
      <c r="N70" s="127"/>
      <c r="O70" s="101"/>
      <c r="P70" s="101"/>
      <c r="Q70" s="101"/>
      <c r="R70" s="128"/>
      <c r="S70" s="129">
        <f>IF(N70&lt;J70,(J70-N70)/2,0)</f>
        <v>25</v>
      </c>
      <c r="T70" s="128"/>
      <c r="U70" s="130">
        <f t="shared" si="4"/>
        <v>-25</v>
      </c>
      <c r="V70" s="131"/>
      <c r="W70" s="2"/>
    </row>
    <row r="71" spans="1:23" ht="45" customHeight="1" x14ac:dyDescent="0.2">
      <c r="A71" s="50">
        <v>11</v>
      </c>
      <c r="B71" s="132" t="s">
        <v>8</v>
      </c>
      <c r="C71" s="133" t="s">
        <v>121</v>
      </c>
      <c r="D71" s="133" t="s">
        <v>122</v>
      </c>
      <c r="E71" s="133" t="s">
        <v>123</v>
      </c>
      <c r="F71" s="200"/>
      <c r="G71" s="53"/>
      <c r="H71" s="134"/>
      <c r="I71" s="134"/>
      <c r="J71" s="134">
        <v>50</v>
      </c>
      <c r="K71" s="135">
        <f t="shared" si="3"/>
        <v>0.59513888888888877</v>
      </c>
      <c r="L71" s="135">
        <f>L69+Y2</f>
        <v>0.62638888888888877</v>
      </c>
      <c r="M71" s="135" t="s">
        <v>104</v>
      </c>
      <c r="N71" s="133"/>
      <c r="O71" s="107"/>
      <c r="P71" s="107"/>
      <c r="Q71" s="107"/>
      <c r="R71" s="136"/>
      <c r="S71" s="137">
        <f>IF(N71&lt;J71,(J71-N71)/2,0)</f>
        <v>25</v>
      </c>
      <c r="T71" s="136"/>
      <c r="U71" s="138">
        <f t="shared" si="4"/>
        <v>-25</v>
      </c>
      <c r="V71" s="139"/>
      <c r="W71" s="140"/>
    </row>
    <row r="72" spans="1:23" ht="45" customHeight="1" x14ac:dyDescent="0.2">
      <c r="A72" s="37">
        <v>12</v>
      </c>
      <c r="B72" s="39" t="s">
        <v>8</v>
      </c>
      <c r="C72" s="127" t="s">
        <v>88</v>
      </c>
      <c r="D72" s="127" t="s">
        <v>47</v>
      </c>
      <c r="E72" s="127" t="s">
        <v>46</v>
      </c>
      <c r="F72" s="199"/>
      <c r="G72" s="40"/>
      <c r="H72" s="125"/>
      <c r="I72" s="125"/>
      <c r="J72" s="125">
        <v>50</v>
      </c>
      <c r="K72" s="126">
        <f t="shared" si="3"/>
        <v>0.59513888888888877</v>
      </c>
      <c r="L72" s="126">
        <f>L71</f>
        <v>0.62638888888888877</v>
      </c>
      <c r="M72" s="126" t="s">
        <v>101</v>
      </c>
      <c r="N72" s="127"/>
      <c r="O72" s="101"/>
      <c r="P72" s="101"/>
      <c r="Q72" s="101"/>
      <c r="R72" s="128"/>
      <c r="S72" s="129">
        <f>IF(N72&lt;J72,(J72-N72)/2,0)</f>
        <v>25</v>
      </c>
      <c r="T72" s="128"/>
      <c r="U72" s="130">
        <f t="shared" si="4"/>
        <v>-25</v>
      </c>
      <c r="V72" s="131"/>
      <c r="W72" s="2"/>
    </row>
    <row r="73" spans="1:23" ht="45" customHeight="1" x14ac:dyDescent="0.2">
      <c r="A73" s="50">
        <v>13</v>
      </c>
      <c r="B73" s="132" t="s">
        <v>3</v>
      </c>
      <c r="C73" s="133" t="s">
        <v>88</v>
      </c>
      <c r="D73" s="133" t="s">
        <v>6</v>
      </c>
      <c r="E73" s="133" t="s">
        <v>5</v>
      </c>
      <c r="F73" s="200"/>
      <c r="G73" s="53"/>
      <c r="H73" s="134"/>
      <c r="I73" s="134"/>
      <c r="J73" s="134">
        <v>50</v>
      </c>
      <c r="K73" s="135">
        <f t="shared" si="3"/>
        <v>0.60069444444444431</v>
      </c>
      <c r="L73" s="135">
        <f>L71+Y2</f>
        <v>0.63194444444444431</v>
      </c>
      <c r="M73" s="135" t="s">
        <v>104</v>
      </c>
      <c r="N73" s="133"/>
      <c r="O73" s="107"/>
      <c r="P73" s="107"/>
      <c r="Q73" s="107"/>
      <c r="R73" s="136"/>
      <c r="S73" s="137">
        <f>IF(N73&lt;J73,(J73-N73)/2,0)</f>
        <v>25</v>
      </c>
      <c r="T73" s="136"/>
      <c r="U73" s="138">
        <f t="shared" si="4"/>
        <v>-25</v>
      </c>
      <c r="V73" s="139"/>
      <c r="W73" s="140"/>
    </row>
    <row r="74" spans="1:23" ht="45" customHeight="1" x14ac:dyDescent="0.2">
      <c r="A74" s="37">
        <v>14</v>
      </c>
      <c r="B74" s="39" t="s">
        <v>8</v>
      </c>
      <c r="C74" s="127" t="s">
        <v>124</v>
      </c>
      <c r="D74" s="127" t="s">
        <v>126</v>
      </c>
      <c r="E74" s="127" t="s">
        <v>127</v>
      </c>
      <c r="F74" s="199"/>
      <c r="G74" s="40"/>
      <c r="H74" s="125"/>
      <c r="I74" s="125"/>
      <c r="J74" s="125">
        <v>50</v>
      </c>
      <c r="K74" s="126">
        <f t="shared" si="3"/>
        <v>0.60069444444444431</v>
      </c>
      <c r="L74" s="126">
        <f>L73</f>
        <v>0.63194444444444431</v>
      </c>
      <c r="M74" s="126" t="s">
        <v>101</v>
      </c>
      <c r="N74" s="127"/>
      <c r="O74" s="101"/>
      <c r="P74" s="101"/>
      <c r="Q74" s="101"/>
      <c r="R74" s="128"/>
      <c r="S74" s="129">
        <f>IF(N74&lt;J74,(J74-N74)/2,0)</f>
        <v>25</v>
      </c>
      <c r="T74" s="128"/>
      <c r="U74" s="130">
        <f t="shared" si="4"/>
        <v>-25</v>
      </c>
      <c r="V74" s="131"/>
      <c r="W74" s="2"/>
    </row>
    <row r="75" spans="1:23" ht="45" customHeight="1" x14ac:dyDescent="0.2">
      <c r="A75" s="50">
        <v>15</v>
      </c>
      <c r="B75" s="133" t="s">
        <v>3</v>
      </c>
      <c r="C75" s="133" t="s">
        <v>88</v>
      </c>
      <c r="D75" s="133" t="s">
        <v>45</v>
      </c>
      <c r="E75" s="133" t="s">
        <v>44</v>
      </c>
      <c r="F75" s="200"/>
      <c r="G75" s="53"/>
      <c r="H75" s="134"/>
      <c r="I75" s="134"/>
      <c r="J75" s="134">
        <v>50</v>
      </c>
      <c r="K75" s="135">
        <f t="shared" si="3"/>
        <v>0.60624999999999984</v>
      </c>
      <c r="L75" s="135">
        <f>L73+Y2</f>
        <v>0.63749999999999984</v>
      </c>
      <c r="M75" s="135" t="s">
        <v>104</v>
      </c>
      <c r="N75" s="133"/>
      <c r="O75" s="107"/>
      <c r="P75" s="107"/>
      <c r="Q75" s="107"/>
      <c r="R75" s="136"/>
      <c r="S75" s="137">
        <f>IF(N75&lt;J75,(J75-N75)/2,0)</f>
        <v>25</v>
      </c>
      <c r="T75" s="136"/>
      <c r="U75" s="138">
        <f t="shared" si="4"/>
        <v>-25</v>
      </c>
      <c r="V75" s="139"/>
      <c r="W75" s="140"/>
    </row>
    <row r="76" spans="1:23" ht="45" customHeight="1" x14ac:dyDescent="0.2">
      <c r="A76" s="37">
        <v>16</v>
      </c>
      <c r="B76" s="39" t="s">
        <v>8</v>
      </c>
      <c r="C76" s="127" t="s">
        <v>88</v>
      </c>
      <c r="D76" s="127" t="s">
        <v>17</v>
      </c>
      <c r="E76" s="127" t="s">
        <v>16</v>
      </c>
      <c r="F76" s="199"/>
      <c r="G76" s="40"/>
      <c r="H76" s="125"/>
      <c r="I76" s="125"/>
      <c r="J76" s="125">
        <v>50</v>
      </c>
      <c r="K76" s="126">
        <f t="shared" si="3"/>
        <v>0.60624999999999984</v>
      </c>
      <c r="L76" s="126">
        <f>L75</f>
        <v>0.63749999999999984</v>
      </c>
      <c r="M76" s="126" t="s">
        <v>101</v>
      </c>
      <c r="N76" s="127"/>
      <c r="O76" s="101"/>
      <c r="P76" s="101"/>
      <c r="Q76" s="101"/>
      <c r="R76" s="128"/>
      <c r="S76" s="129">
        <f>IF(N76&lt;J76,(J76-N76)/2,0)</f>
        <v>25</v>
      </c>
      <c r="T76" s="128"/>
      <c r="U76" s="130">
        <f t="shared" si="4"/>
        <v>-25</v>
      </c>
      <c r="V76" s="131"/>
      <c r="W76" s="2"/>
    </row>
    <row r="77" spans="1:23" ht="45" customHeight="1" x14ac:dyDescent="0.2">
      <c r="A77" s="50">
        <v>17</v>
      </c>
      <c r="B77" s="132" t="s">
        <v>8</v>
      </c>
      <c r="C77" s="133" t="s">
        <v>88</v>
      </c>
      <c r="D77" s="133" t="s">
        <v>30</v>
      </c>
      <c r="E77" s="133" t="s">
        <v>29</v>
      </c>
      <c r="F77" s="200"/>
      <c r="G77" s="53"/>
      <c r="H77" s="134"/>
      <c r="I77" s="134"/>
      <c r="J77" s="134">
        <v>50</v>
      </c>
      <c r="K77" s="135">
        <f t="shared" si="3"/>
        <v>0.61180555555555538</v>
      </c>
      <c r="L77" s="135">
        <f>L75+Y2</f>
        <v>0.64305555555555538</v>
      </c>
      <c r="M77" s="135" t="s">
        <v>104</v>
      </c>
      <c r="N77" s="133"/>
      <c r="O77" s="107"/>
      <c r="P77" s="107"/>
      <c r="Q77" s="107"/>
      <c r="R77" s="136"/>
      <c r="S77" s="137">
        <f>IF(N77&lt;J77,(J77-N77)/2,0)</f>
        <v>25</v>
      </c>
      <c r="T77" s="136"/>
      <c r="U77" s="138">
        <f t="shared" si="4"/>
        <v>-25</v>
      </c>
      <c r="V77" s="139"/>
      <c r="W77" s="140"/>
    </row>
    <row r="78" spans="1:23" ht="45" customHeight="1" x14ac:dyDescent="0.2">
      <c r="A78" s="37">
        <v>18</v>
      </c>
      <c r="B78" s="39" t="s">
        <v>8</v>
      </c>
      <c r="C78" s="127" t="s">
        <v>88</v>
      </c>
      <c r="D78" s="127" t="s">
        <v>50</v>
      </c>
      <c r="E78" s="127" t="s">
        <v>49</v>
      </c>
      <c r="F78" s="199"/>
      <c r="G78" s="40"/>
      <c r="H78" s="125"/>
      <c r="I78" s="125"/>
      <c r="J78" s="125">
        <v>50</v>
      </c>
      <c r="K78" s="126">
        <f t="shared" si="3"/>
        <v>0.61180555555555538</v>
      </c>
      <c r="L78" s="126">
        <f>L77</f>
        <v>0.64305555555555538</v>
      </c>
      <c r="M78" s="126" t="s">
        <v>101</v>
      </c>
      <c r="N78" s="127"/>
      <c r="O78" s="101"/>
      <c r="P78" s="101"/>
      <c r="Q78" s="101"/>
      <c r="R78" s="128"/>
      <c r="S78" s="129">
        <f>IF(N78&lt;J78,(J78-N78)/2,0)</f>
        <v>25</v>
      </c>
      <c r="T78" s="128"/>
      <c r="U78" s="130">
        <f t="shared" si="4"/>
        <v>-25</v>
      </c>
      <c r="V78" s="131"/>
      <c r="W78" s="2"/>
    </row>
    <row r="79" spans="1:23" ht="45" customHeight="1" x14ac:dyDescent="0.2">
      <c r="A79" s="50">
        <v>19</v>
      </c>
      <c r="B79" s="132" t="s">
        <v>3</v>
      </c>
      <c r="C79" s="133" t="s">
        <v>118</v>
      </c>
      <c r="D79" s="133" t="s">
        <v>65</v>
      </c>
      <c r="E79" s="133" t="s">
        <v>64</v>
      </c>
      <c r="F79" s="200"/>
      <c r="G79" s="53"/>
      <c r="H79" s="134"/>
      <c r="I79" s="134"/>
      <c r="J79" s="134">
        <v>51</v>
      </c>
      <c r="K79" s="135">
        <f t="shared" si="3"/>
        <v>0.61736111111111092</v>
      </c>
      <c r="L79" s="135">
        <f>L77+Y2</f>
        <v>0.64861111111111092</v>
      </c>
      <c r="M79" s="135" t="s">
        <v>104</v>
      </c>
      <c r="N79" s="133"/>
      <c r="O79" s="107"/>
      <c r="P79" s="107"/>
      <c r="Q79" s="107"/>
      <c r="R79" s="136"/>
      <c r="S79" s="137">
        <f>IF(N79&lt;J79,(J79-N79)/2,0)</f>
        <v>25.5</v>
      </c>
      <c r="T79" s="136"/>
      <c r="U79" s="138">
        <f t="shared" si="4"/>
        <v>-25.5</v>
      </c>
      <c r="V79" s="139"/>
      <c r="W79" s="140"/>
    </row>
    <row r="80" spans="1:23" ht="45" customHeight="1" thickBot="1" x14ac:dyDescent="0.25">
      <c r="A80" s="82">
        <v>20</v>
      </c>
      <c r="B80" s="141" t="s">
        <v>3</v>
      </c>
      <c r="C80" s="141" t="s">
        <v>88</v>
      </c>
      <c r="D80" s="142" t="s">
        <v>28</v>
      </c>
      <c r="E80" s="142" t="s">
        <v>27</v>
      </c>
      <c r="F80" s="201"/>
      <c r="G80" s="83"/>
      <c r="H80" s="143"/>
      <c r="I80" s="143"/>
      <c r="J80" s="143">
        <v>51</v>
      </c>
      <c r="K80" s="144">
        <f t="shared" si="3"/>
        <v>0.61736111111111092</v>
      </c>
      <c r="L80" s="144">
        <f>L79</f>
        <v>0.64861111111111092</v>
      </c>
      <c r="M80" s="144" t="s">
        <v>101</v>
      </c>
      <c r="N80" s="142"/>
      <c r="O80" s="114"/>
      <c r="P80" s="114"/>
      <c r="Q80" s="114"/>
      <c r="R80" s="145"/>
      <c r="S80" s="146">
        <f>IF(N80&lt;J80,(J80-N80)/2,0)</f>
        <v>25.5</v>
      </c>
      <c r="T80" s="145"/>
      <c r="U80" s="147">
        <f t="shared" si="4"/>
        <v>-25.5</v>
      </c>
      <c r="V80" s="148"/>
      <c r="W80" s="2"/>
    </row>
    <row r="81" spans="1:38" ht="45" customHeight="1" x14ac:dyDescent="0.2">
      <c r="A81" s="50">
        <v>21</v>
      </c>
      <c r="B81" s="132" t="s">
        <v>8</v>
      </c>
      <c r="C81" s="133" t="s">
        <v>124</v>
      </c>
      <c r="D81" s="133" t="s">
        <v>73</v>
      </c>
      <c r="E81" s="133" t="s">
        <v>72</v>
      </c>
      <c r="F81" s="200"/>
      <c r="G81" s="53"/>
      <c r="H81" s="134"/>
      <c r="I81" s="134"/>
      <c r="J81" s="134">
        <v>60</v>
      </c>
      <c r="K81" s="135">
        <f t="shared" si="3"/>
        <v>0.62291666666666645</v>
      </c>
      <c r="L81" s="135">
        <f>L79+Y2</f>
        <v>0.65416666666666645</v>
      </c>
      <c r="M81" s="135" t="s">
        <v>104</v>
      </c>
      <c r="N81" s="133"/>
      <c r="O81" s="107"/>
      <c r="P81" s="107"/>
      <c r="Q81" s="107"/>
      <c r="R81" s="136"/>
      <c r="S81" s="137">
        <f>IF(N81&lt;J81,(J81-N81)/2,0)</f>
        <v>30</v>
      </c>
      <c r="T81" s="136"/>
      <c r="U81" s="138">
        <f t="shared" si="4"/>
        <v>-30</v>
      </c>
      <c r="V81" s="139"/>
      <c r="W81" s="140"/>
    </row>
    <row r="82" spans="1:38" ht="45" customHeight="1" thickBot="1" x14ac:dyDescent="0.25">
      <c r="A82" s="82">
        <v>22</v>
      </c>
      <c r="B82" s="141" t="s">
        <v>3</v>
      </c>
      <c r="C82" s="141" t="s">
        <v>88</v>
      </c>
      <c r="D82" s="142" t="s">
        <v>59</v>
      </c>
      <c r="E82" s="142" t="s">
        <v>58</v>
      </c>
      <c r="F82" s="201"/>
      <c r="G82" s="83"/>
      <c r="H82" s="143"/>
      <c r="I82" s="143"/>
      <c r="J82" s="143">
        <v>75</v>
      </c>
      <c r="K82" s="144">
        <f t="shared" si="3"/>
        <v>0.62291666666666645</v>
      </c>
      <c r="L82" s="144">
        <f>L81</f>
        <v>0.65416666666666645</v>
      </c>
      <c r="M82" s="144" t="s">
        <v>101</v>
      </c>
      <c r="N82" s="142"/>
      <c r="O82" s="114"/>
      <c r="P82" s="114"/>
      <c r="Q82" s="114"/>
      <c r="R82" s="145"/>
      <c r="S82" s="146">
        <f>IF(N82&lt;J82,(J82-N82)/2,0)</f>
        <v>37.5</v>
      </c>
      <c r="T82" s="145"/>
      <c r="U82" s="147">
        <f t="shared" si="4"/>
        <v>-37.5</v>
      </c>
      <c r="V82" s="148"/>
      <c r="W82" s="2"/>
    </row>
    <row r="83" spans="1:38" ht="45" customHeight="1" x14ac:dyDescent="0.2">
      <c r="A83" s="50">
        <v>23</v>
      </c>
      <c r="B83" s="132" t="s">
        <v>8</v>
      </c>
      <c r="C83" s="133" t="s">
        <v>88</v>
      </c>
      <c r="D83" s="133" t="s">
        <v>10</v>
      </c>
      <c r="E83" s="133" t="s">
        <v>9</v>
      </c>
      <c r="F83" s="200"/>
      <c r="G83" s="53"/>
      <c r="H83" s="134"/>
      <c r="I83" s="134"/>
      <c r="J83" s="134">
        <v>80</v>
      </c>
      <c r="K83" s="135">
        <f t="shared" si="3"/>
        <v>0.62847222222222199</v>
      </c>
      <c r="L83" s="135">
        <f>L81+Y2</f>
        <v>0.65972222222222199</v>
      </c>
      <c r="M83" s="135" t="s">
        <v>104</v>
      </c>
      <c r="N83" s="133"/>
      <c r="O83" s="107"/>
      <c r="P83" s="107"/>
      <c r="Q83" s="107"/>
      <c r="R83" s="136"/>
      <c r="S83" s="137">
        <f>IF(N83&lt;J83,(J83-N83)/2,0)</f>
        <v>40</v>
      </c>
      <c r="T83" s="136"/>
      <c r="U83" s="138">
        <f t="shared" si="4"/>
        <v>-40</v>
      </c>
      <c r="V83" s="139"/>
      <c r="W83" s="140"/>
    </row>
    <row r="84" spans="1:38" ht="45" customHeight="1" thickBot="1" x14ac:dyDescent="0.25">
      <c r="A84" s="82">
        <v>24</v>
      </c>
      <c r="B84" s="141" t="s">
        <v>8</v>
      </c>
      <c r="C84" s="141" t="s">
        <v>88</v>
      </c>
      <c r="D84" s="142" t="s">
        <v>34</v>
      </c>
      <c r="E84" s="142" t="s">
        <v>33</v>
      </c>
      <c r="F84" s="201"/>
      <c r="G84" s="83"/>
      <c r="H84" s="143"/>
      <c r="I84" s="143"/>
      <c r="J84" s="143">
        <v>100</v>
      </c>
      <c r="K84" s="144">
        <f t="shared" si="3"/>
        <v>0.62847222222222199</v>
      </c>
      <c r="L84" s="144">
        <f>L83</f>
        <v>0.65972222222222199</v>
      </c>
      <c r="M84" s="144" t="s">
        <v>101</v>
      </c>
      <c r="N84" s="142"/>
      <c r="O84" s="114"/>
      <c r="P84" s="114"/>
      <c r="Q84" s="114"/>
      <c r="R84" s="145"/>
      <c r="S84" s="146">
        <f>IF(N84&lt;J84,(J84-N84)/2,0)</f>
        <v>50</v>
      </c>
      <c r="T84" s="145"/>
      <c r="U84" s="147">
        <f t="shared" si="4"/>
        <v>-50</v>
      </c>
      <c r="V84" s="148"/>
      <c r="W84" s="2"/>
    </row>
    <row r="85" spans="1:38" ht="45" customHeight="1" x14ac:dyDescent="0.2">
      <c r="A85" s="50">
        <v>25</v>
      </c>
      <c r="B85" s="132" t="s">
        <v>3</v>
      </c>
      <c r="C85" s="133" t="s">
        <v>107</v>
      </c>
      <c r="D85" s="133" t="s">
        <v>69</v>
      </c>
      <c r="E85" s="133" t="s">
        <v>68</v>
      </c>
      <c r="F85" s="200"/>
      <c r="G85" s="53"/>
      <c r="H85" s="134"/>
      <c r="I85" s="134"/>
      <c r="J85" s="134">
        <v>107</v>
      </c>
      <c r="K85" s="135">
        <f t="shared" si="3"/>
        <v>0.63402777777777752</v>
      </c>
      <c r="L85" s="135">
        <f>L83+Y2</f>
        <v>0.66527777777777752</v>
      </c>
      <c r="M85" s="135" t="s">
        <v>104</v>
      </c>
      <c r="N85" s="133"/>
      <c r="O85" s="107"/>
      <c r="P85" s="107"/>
      <c r="Q85" s="107"/>
      <c r="R85" s="136"/>
      <c r="S85" s="137">
        <f>IF(N85&lt;J85,(J85-N85)/2,0)</f>
        <v>53.5</v>
      </c>
      <c r="T85" s="136"/>
      <c r="U85" s="138">
        <f t="shared" si="4"/>
        <v>-53.5</v>
      </c>
      <c r="V85" s="139"/>
      <c r="W85" s="140"/>
    </row>
    <row r="86" spans="1:38" x14ac:dyDescent="0.2">
      <c r="E86" s="10"/>
      <c r="J86" s="8"/>
      <c r="K86" s="172"/>
      <c r="T86" s="8"/>
      <c r="W86" s="9"/>
    </row>
    <row r="87" spans="1:38" x14ac:dyDescent="0.2">
      <c r="E87" s="10"/>
      <c r="J87" s="8"/>
      <c r="K87" s="172"/>
      <c r="T87" s="8"/>
    </row>
    <row r="88" spans="1:38" x14ac:dyDescent="0.2">
      <c r="E88" s="10"/>
      <c r="J88" s="8"/>
      <c r="K88" s="172"/>
      <c r="T88" s="8"/>
    </row>
    <row r="89" spans="1:38" x14ac:dyDescent="0.2">
      <c r="A89" s="174"/>
      <c r="E89" s="10"/>
      <c r="F89" s="202"/>
      <c r="J89" s="8"/>
      <c r="K89" s="172"/>
      <c r="T89" s="8"/>
    </row>
    <row r="90" spans="1:38" x14ac:dyDescent="0.2">
      <c r="E90" s="10"/>
      <c r="J90" s="8"/>
      <c r="K90" s="172"/>
      <c r="T90" s="8"/>
    </row>
    <row r="91" spans="1:38" x14ac:dyDescent="0.2">
      <c r="E91" s="10"/>
      <c r="J91" s="8"/>
      <c r="K91" s="172"/>
      <c r="T91" s="8"/>
    </row>
    <row r="92" spans="1:38" x14ac:dyDescent="0.2">
      <c r="E92" s="10"/>
      <c r="J92" s="8"/>
      <c r="K92" s="172"/>
      <c r="T92" s="8"/>
    </row>
    <row r="93" spans="1:38" x14ac:dyDescent="0.2">
      <c r="E93" s="10"/>
      <c r="J93" s="8"/>
      <c r="K93" s="172"/>
      <c r="T93" s="8"/>
    </row>
    <row r="94" spans="1:38" x14ac:dyDescent="0.2">
      <c r="E94" s="10"/>
      <c r="J94" s="8"/>
      <c r="K94" s="172"/>
      <c r="T94" s="8"/>
    </row>
    <row r="95" spans="1:38" x14ac:dyDescent="0.2">
      <c r="E95" s="10"/>
      <c r="J95" s="8"/>
      <c r="K95" s="172"/>
      <c r="T95" s="8"/>
    </row>
    <row r="96" spans="1:38" x14ac:dyDescent="0.2">
      <c r="E96" s="10"/>
      <c r="J96" s="8"/>
      <c r="K96" s="172"/>
      <c r="T96" s="8"/>
      <c r="AI96" s="8"/>
      <c r="AJ96" s="8"/>
      <c r="AK96" s="8"/>
      <c r="AL96" s="8"/>
    </row>
    <row r="97" spans="5:38" x14ac:dyDescent="0.2">
      <c r="E97" s="10"/>
      <c r="J97" s="8"/>
      <c r="K97" s="172"/>
      <c r="T97" s="8"/>
      <c r="AI97" s="8"/>
      <c r="AJ97" s="8"/>
      <c r="AK97" s="8"/>
      <c r="AL97" s="8"/>
    </row>
    <row r="98" spans="5:38" x14ac:dyDescent="0.2">
      <c r="E98" s="10"/>
      <c r="J98" s="8"/>
      <c r="K98" s="172"/>
      <c r="T98" s="8"/>
      <c r="AI98" s="8"/>
      <c r="AJ98" s="8"/>
      <c r="AK98" s="8"/>
      <c r="AL98" s="8"/>
    </row>
    <row r="99" spans="5:38" x14ac:dyDescent="0.2">
      <c r="E99" s="10"/>
      <c r="J99" s="8"/>
      <c r="K99" s="172"/>
      <c r="T99" s="8"/>
      <c r="AI99" s="8"/>
      <c r="AJ99" s="8"/>
      <c r="AK99" s="8"/>
      <c r="AL99" s="8"/>
    </row>
    <row r="100" spans="5:38" x14ac:dyDescent="0.2">
      <c r="E100" s="10"/>
      <c r="J100" s="8"/>
      <c r="K100" s="172"/>
      <c r="T100" s="8"/>
      <c r="AI100" s="8"/>
      <c r="AJ100" s="8"/>
      <c r="AK100" s="8"/>
      <c r="AL100" s="8"/>
    </row>
    <row r="101" spans="5:38" x14ac:dyDescent="0.2">
      <c r="E101" s="10"/>
      <c r="J101" s="8"/>
      <c r="K101" s="172"/>
      <c r="T101" s="8"/>
      <c r="AI101" s="8"/>
      <c r="AJ101" s="8"/>
      <c r="AK101" s="8"/>
      <c r="AL101" s="8"/>
    </row>
    <row r="102" spans="5:38" x14ac:dyDescent="0.2">
      <c r="E102" s="10"/>
      <c r="J102" s="8"/>
      <c r="K102" s="172"/>
      <c r="T102" s="8"/>
      <c r="AI102" s="8"/>
      <c r="AJ102" s="8"/>
      <c r="AK102" s="8"/>
      <c r="AL102" s="8"/>
    </row>
    <row r="103" spans="5:38" x14ac:dyDescent="0.2">
      <c r="E103" s="10"/>
      <c r="J103" s="8"/>
      <c r="K103" s="172"/>
      <c r="T103" s="8"/>
      <c r="AI103" s="8"/>
      <c r="AJ103" s="8"/>
      <c r="AK103" s="8"/>
      <c r="AL103" s="8"/>
    </row>
    <row r="104" spans="5:38" x14ac:dyDescent="0.2">
      <c r="E104" s="10"/>
      <c r="J104" s="8"/>
      <c r="K104" s="172"/>
      <c r="T104" s="8"/>
      <c r="AI104" s="8"/>
      <c r="AJ104" s="8"/>
      <c r="AK104" s="8"/>
      <c r="AL104" s="8"/>
    </row>
    <row r="105" spans="5:38" x14ac:dyDescent="0.2">
      <c r="E105" s="10"/>
      <c r="J105" s="8"/>
      <c r="K105" s="172"/>
      <c r="T105" s="8"/>
      <c r="AI105" s="8"/>
      <c r="AJ105" s="8"/>
      <c r="AK105" s="8"/>
      <c r="AL105" s="8"/>
    </row>
    <row r="106" spans="5:38" x14ac:dyDescent="0.2">
      <c r="E106" s="10"/>
      <c r="J106" s="8"/>
      <c r="K106" s="172"/>
      <c r="T106" s="8"/>
      <c r="AI106" s="8"/>
      <c r="AJ106" s="8"/>
      <c r="AK106" s="8"/>
      <c r="AL106" s="8"/>
    </row>
    <row r="107" spans="5:38" x14ac:dyDescent="0.2">
      <c r="E107" s="10"/>
      <c r="J107" s="8"/>
      <c r="K107" s="172"/>
      <c r="T107" s="8"/>
      <c r="AI107" s="8"/>
      <c r="AJ107" s="8"/>
      <c r="AK107" s="8"/>
      <c r="AL107" s="8"/>
    </row>
    <row r="108" spans="5:38" x14ac:dyDescent="0.2">
      <c r="E108" s="10"/>
      <c r="J108" s="8"/>
      <c r="K108" s="172"/>
      <c r="T108" s="8"/>
      <c r="AI108" s="8"/>
      <c r="AJ108" s="8"/>
      <c r="AK108" s="8"/>
      <c r="AL108" s="8"/>
    </row>
    <row r="109" spans="5:38" x14ac:dyDescent="0.2">
      <c r="E109" s="10"/>
      <c r="J109" s="8"/>
      <c r="K109" s="172"/>
      <c r="T109" s="8"/>
      <c r="AI109" s="8"/>
      <c r="AJ109" s="8"/>
      <c r="AK109" s="8"/>
      <c r="AL109" s="8"/>
    </row>
    <row r="110" spans="5:38" x14ac:dyDescent="0.2">
      <c r="E110" s="10"/>
      <c r="J110" s="8"/>
      <c r="K110" s="172"/>
      <c r="T110" s="8"/>
      <c r="AI110" s="8"/>
      <c r="AJ110" s="8"/>
      <c r="AK110" s="8"/>
      <c r="AL110" s="8"/>
    </row>
    <row r="111" spans="5:38" x14ac:dyDescent="0.2">
      <c r="E111" s="10"/>
      <c r="J111" s="8"/>
      <c r="K111" s="172"/>
      <c r="T111" s="8"/>
      <c r="AI111" s="8"/>
      <c r="AJ111" s="8"/>
      <c r="AK111" s="8"/>
      <c r="AL111" s="8"/>
    </row>
    <row r="112" spans="5:38" x14ac:dyDescent="0.2">
      <c r="E112" s="10"/>
      <c r="J112" s="8"/>
      <c r="K112" s="172"/>
      <c r="T112" s="8"/>
      <c r="AI112" s="8"/>
      <c r="AJ112" s="8"/>
      <c r="AK112" s="8"/>
      <c r="AL112" s="8"/>
    </row>
    <row r="113" spans="5:38" x14ac:dyDescent="0.2">
      <c r="E113" s="10"/>
      <c r="J113" s="8"/>
      <c r="K113" s="172"/>
      <c r="T113" s="8"/>
      <c r="AI113" s="8"/>
      <c r="AJ113" s="8"/>
      <c r="AK113" s="8"/>
      <c r="AL113" s="8"/>
    </row>
    <row r="114" spans="5:38" x14ac:dyDescent="0.2">
      <c r="E114" s="10"/>
      <c r="J114" s="8"/>
      <c r="K114" s="172"/>
      <c r="T114" s="8"/>
      <c r="AI114" s="8"/>
      <c r="AJ114" s="8"/>
      <c r="AK114" s="8"/>
      <c r="AL114" s="8"/>
    </row>
    <row r="115" spans="5:38" x14ac:dyDescent="0.2">
      <c r="E115" s="10"/>
      <c r="J115" s="8"/>
      <c r="K115" s="172"/>
      <c r="T115" s="8"/>
      <c r="AI115" s="8"/>
      <c r="AJ115" s="8"/>
      <c r="AK115" s="8"/>
      <c r="AL115" s="8"/>
    </row>
    <row r="116" spans="5:38" x14ac:dyDescent="0.2">
      <c r="E116" s="10"/>
      <c r="J116" s="8"/>
      <c r="K116" s="172"/>
      <c r="T116" s="8"/>
      <c r="AI116" s="8"/>
      <c r="AJ116" s="8"/>
      <c r="AK116" s="8"/>
      <c r="AL116" s="8"/>
    </row>
    <row r="117" spans="5:38" x14ac:dyDescent="0.2">
      <c r="E117" s="10"/>
      <c r="J117" s="8"/>
      <c r="K117" s="172"/>
      <c r="T117" s="8"/>
      <c r="AI117" s="8"/>
      <c r="AJ117" s="8"/>
      <c r="AK117" s="8"/>
      <c r="AL117" s="8"/>
    </row>
    <row r="118" spans="5:38" x14ac:dyDescent="0.2">
      <c r="E118" s="10"/>
      <c r="J118" s="8"/>
      <c r="K118" s="172"/>
      <c r="T118" s="8"/>
      <c r="AI118" s="8"/>
      <c r="AJ118" s="8"/>
      <c r="AK118" s="8"/>
      <c r="AL118" s="8"/>
    </row>
    <row r="119" spans="5:38" x14ac:dyDescent="0.2">
      <c r="E119" s="10"/>
      <c r="J119" s="8"/>
      <c r="K119" s="172"/>
      <c r="T119" s="8"/>
      <c r="AI119" s="8"/>
      <c r="AJ119" s="8"/>
      <c r="AK119" s="8"/>
      <c r="AL119" s="8"/>
    </row>
    <row r="120" spans="5:38" x14ac:dyDescent="0.2">
      <c r="E120" s="10"/>
      <c r="J120" s="8"/>
      <c r="K120" s="172"/>
      <c r="T120" s="8"/>
      <c r="AI120" s="8"/>
      <c r="AJ120" s="8"/>
      <c r="AK120" s="8"/>
      <c r="AL120" s="8"/>
    </row>
    <row r="121" spans="5:38" x14ac:dyDescent="0.2">
      <c r="E121" s="10"/>
      <c r="J121" s="8"/>
      <c r="K121" s="172"/>
      <c r="T121" s="8"/>
      <c r="AI121" s="8"/>
      <c r="AJ121" s="8"/>
      <c r="AK121" s="8"/>
      <c r="AL121" s="8"/>
    </row>
    <row r="122" spans="5:38" x14ac:dyDescent="0.2">
      <c r="E122" s="10"/>
      <c r="J122" s="8"/>
      <c r="K122" s="172"/>
      <c r="T122" s="8"/>
      <c r="AI122" s="8"/>
      <c r="AJ122" s="8"/>
      <c r="AK122" s="8"/>
      <c r="AL122" s="8"/>
    </row>
    <row r="123" spans="5:38" x14ac:dyDescent="0.2">
      <c r="E123" s="10"/>
      <c r="J123" s="8"/>
      <c r="K123" s="172"/>
      <c r="T123" s="8"/>
      <c r="AI123" s="8"/>
      <c r="AJ123" s="8"/>
      <c r="AK123" s="8"/>
      <c r="AL123" s="8"/>
    </row>
    <row r="124" spans="5:38" x14ac:dyDescent="0.2">
      <c r="E124" s="10"/>
      <c r="J124" s="8"/>
      <c r="K124" s="172"/>
      <c r="T124" s="8"/>
      <c r="AI124" s="8"/>
      <c r="AJ124" s="8"/>
      <c r="AK124" s="8"/>
      <c r="AL124" s="8"/>
    </row>
    <row r="125" spans="5:38" x14ac:dyDescent="0.2">
      <c r="E125" s="10"/>
      <c r="J125" s="8"/>
      <c r="K125" s="172"/>
      <c r="T125" s="8"/>
      <c r="AI125" s="8"/>
      <c r="AJ125" s="8"/>
      <c r="AK125" s="8"/>
      <c r="AL125" s="8"/>
    </row>
    <row r="126" spans="5:38" x14ac:dyDescent="0.2">
      <c r="E126" s="10"/>
      <c r="J126" s="8"/>
      <c r="K126" s="172"/>
      <c r="T126" s="8"/>
      <c r="AI126" s="8"/>
      <c r="AJ126" s="8"/>
      <c r="AK126" s="8"/>
      <c r="AL126" s="8"/>
    </row>
    <row r="127" spans="5:38" x14ac:dyDescent="0.2">
      <c r="E127" s="10"/>
      <c r="J127" s="8"/>
      <c r="K127" s="172"/>
      <c r="T127" s="8"/>
      <c r="AI127" s="8"/>
      <c r="AJ127" s="8"/>
      <c r="AK127" s="8"/>
      <c r="AL127" s="8"/>
    </row>
    <row r="128" spans="5:38" x14ac:dyDescent="0.2">
      <c r="E128" s="10"/>
      <c r="J128" s="8"/>
      <c r="K128" s="172"/>
      <c r="T128" s="8"/>
      <c r="AI128" s="8"/>
      <c r="AJ128" s="8"/>
      <c r="AK128" s="8"/>
      <c r="AL128" s="8"/>
    </row>
    <row r="129" spans="5:38" x14ac:dyDescent="0.2">
      <c r="E129" s="10"/>
      <c r="J129" s="8"/>
      <c r="K129" s="172"/>
      <c r="T129" s="8"/>
      <c r="AI129" s="8"/>
      <c r="AJ129" s="8"/>
      <c r="AK129" s="8"/>
      <c r="AL129" s="8"/>
    </row>
    <row r="130" spans="5:38" x14ac:dyDescent="0.2">
      <c r="E130" s="10"/>
      <c r="J130" s="8"/>
      <c r="K130" s="172"/>
      <c r="T130" s="8"/>
      <c r="AI130" s="8"/>
      <c r="AJ130" s="8"/>
      <c r="AK130" s="8"/>
      <c r="AL130" s="8"/>
    </row>
    <row r="131" spans="5:38" x14ac:dyDescent="0.2">
      <c r="E131" s="10"/>
      <c r="J131" s="8"/>
      <c r="K131" s="172"/>
      <c r="T131" s="8"/>
      <c r="AI131" s="8"/>
      <c r="AJ131" s="8"/>
      <c r="AK131" s="8"/>
      <c r="AL131" s="8"/>
    </row>
    <row r="132" spans="5:38" x14ac:dyDescent="0.2">
      <c r="E132" s="10"/>
      <c r="J132" s="8"/>
      <c r="K132" s="172"/>
      <c r="T132" s="8"/>
      <c r="AI132" s="8"/>
      <c r="AJ132" s="8"/>
      <c r="AK132" s="8"/>
      <c r="AL132" s="8"/>
    </row>
    <row r="133" spans="5:38" x14ac:dyDescent="0.2">
      <c r="E133" s="10"/>
      <c r="J133" s="8"/>
      <c r="K133" s="172"/>
      <c r="T133" s="8"/>
      <c r="AI133" s="8"/>
      <c r="AJ133" s="8"/>
      <c r="AK133" s="8"/>
      <c r="AL133" s="8"/>
    </row>
    <row r="134" spans="5:38" x14ac:dyDescent="0.2">
      <c r="E134" s="10"/>
      <c r="J134" s="8"/>
      <c r="K134" s="172"/>
      <c r="T134" s="8"/>
      <c r="AI134" s="8"/>
      <c r="AJ134" s="8"/>
      <c r="AK134" s="8"/>
      <c r="AL134" s="8"/>
    </row>
    <row r="135" spans="5:38" x14ac:dyDescent="0.2">
      <c r="E135" s="10"/>
      <c r="J135" s="8"/>
      <c r="K135" s="172"/>
      <c r="T135" s="8"/>
      <c r="AI135" s="8"/>
      <c r="AJ135" s="8"/>
      <c r="AK135" s="8"/>
      <c r="AL135" s="8"/>
    </row>
    <row r="136" spans="5:38" x14ac:dyDescent="0.2">
      <c r="E136" s="10"/>
      <c r="J136" s="8"/>
      <c r="K136" s="172"/>
      <c r="T136" s="8"/>
      <c r="AI136" s="8"/>
      <c r="AJ136" s="8"/>
      <c r="AK136" s="8"/>
      <c r="AL136" s="8"/>
    </row>
    <row r="137" spans="5:38" x14ac:dyDescent="0.2">
      <c r="E137" s="10"/>
      <c r="J137" s="8"/>
      <c r="K137" s="172"/>
      <c r="T137" s="8"/>
      <c r="AI137" s="8"/>
      <c r="AJ137" s="8"/>
      <c r="AK137" s="8"/>
      <c r="AL137" s="8"/>
    </row>
    <row r="138" spans="5:38" x14ac:dyDescent="0.2">
      <c r="E138" s="10"/>
      <c r="J138" s="8"/>
      <c r="K138" s="172"/>
      <c r="T138" s="8"/>
      <c r="AI138" s="8"/>
      <c r="AJ138" s="8"/>
      <c r="AK138" s="8"/>
      <c r="AL138" s="8"/>
    </row>
    <row r="139" spans="5:38" x14ac:dyDescent="0.2">
      <c r="E139" s="10"/>
      <c r="J139" s="8"/>
      <c r="K139" s="172"/>
      <c r="T139" s="8"/>
      <c r="AI139" s="8"/>
      <c r="AJ139" s="8"/>
      <c r="AK139" s="8"/>
      <c r="AL139" s="8"/>
    </row>
    <row r="140" spans="5:38" x14ac:dyDescent="0.2">
      <c r="E140" s="10"/>
      <c r="J140" s="8"/>
      <c r="K140" s="172"/>
      <c r="T140" s="8"/>
      <c r="AI140" s="8"/>
      <c r="AJ140" s="8"/>
      <c r="AK140" s="8"/>
      <c r="AL140" s="8"/>
    </row>
    <row r="141" spans="5:38" x14ac:dyDescent="0.2">
      <c r="E141" s="10"/>
      <c r="J141" s="8"/>
      <c r="K141" s="172"/>
      <c r="T141" s="8"/>
      <c r="AI141" s="8"/>
      <c r="AJ141" s="8"/>
      <c r="AK141" s="8"/>
      <c r="AL141" s="8"/>
    </row>
    <row r="142" spans="5:38" x14ac:dyDescent="0.2">
      <c r="E142" s="10"/>
      <c r="J142" s="8"/>
      <c r="K142" s="172"/>
      <c r="T142" s="8"/>
      <c r="AI142" s="8"/>
      <c r="AJ142" s="8"/>
      <c r="AK142" s="8"/>
      <c r="AL142" s="8"/>
    </row>
    <row r="143" spans="5:38" x14ac:dyDescent="0.2">
      <c r="E143" s="10"/>
      <c r="J143" s="8"/>
      <c r="K143" s="172"/>
      <c r="T143" s="8"/>
      <c r="AI143" s="8"/>
      <c r="AJ143" s="8"/>
      <c r="AK143" s="8"/>
      <c r="AL143" s="8"/>
    </row>
    <row r="144" spans="5:38" x14ac:dyDescent="0.2">
      <c r="E144" s="10"/>
      <c r="J144" s="8"/>
      <c r="K144" s="172"/>
      <c r="T144" s="8"/>
      <c r="AI144" s="8"/>
      <c r="AJ144" s="8"/>
      <c r="AK144" s="8"/>
      <c r="AL144" s="8"/>
    </row>
    <row r="145" spans="5:38" x14ac:dyDescent="0.2">
      <c r="E145" s="10"/>
      <c r="J145" s="8"/>
      <c r="K145" s="172"/>
      <c r="T145" s="8"/>
      <c r="AI145" s="8"/>
      <c r="AJ145" s="8"/>
      <c r="AK145" s="8"/>
      <c r="AL145" s="8"/>
    </row>
    <row r="146" spans="5:38" x14ac:dyDescent="0.2">
      <c r="E146" s="10"/>
      <c r="J146" s="8"/>
      <c r="K146" s="172"/>
      <c r="T146" s="8"/>
      <c r="AI146" s="8"/>
      <c r="AJ146" s="8"/>
      <c r="AK146" s="8"/>
      <c r="AL146" s="8"/>
    </row>
    <row r="147" spans="5:38" x14ac:dyDescent="0.2">
      <c r="E147" s="10"/>
      <c r="J147" s="8"/>
      <c r="K147" s="172"/>
      <c r="T147" s="8"/>
      <c r="AI147" s="8"/>
      <c r="AJ147" s="8"/>
      <c r="AK147" s="8"/>
      <c r="AL147" s="8"/>
    </row>
    <row r="148" spans="5:38" x14ac:dyDescent="0.2">
      <c r="E148" s="10"/>
      <c r="J148" s="8"/>
      <c r="K148" s="172"/>
      <c r="T148" s="8"/>
      <c r="AI148" s="8"/>
      <c r="AJ148" s="8"/>
      <c r="AK148" s="8"/>
      <c r="AL148" s="8"/>
    </row>
    <row r="149" spans="5:38" x14ac:dyDescent="0.2">
      <c r="E149" s="10"/>
      <c r="J149" s="8"/>
      <c r="K149" s="172"/>
      <c r="T149" s="8"/>
      <c r="AI149" s="8"/>
      <c r="AJ149" s="8"/>
      <c r="AK149" s="8"/>
      <c r="AL149" s="8"/>
    </row>
    <row r="150" spans="5:38" x14ac:dyDescent="0.2">
      <c r="E150" s="10"/>
      <c r="J150" s="8"/>
      <c r="K150" s="172"/>
      <c r="T150" s="8"/>
      <c r="AI150" s="8"/>
      <c r="AJ150" s="8"/>
      <c r="AK150" s="8"/>
      <c r="AL150" s="8"/>
    </row>
    <row r="151" spans="5:38" x14ac:dyDescent="0.2">
      <c r="E151" s="10"/>
      <c r="J151" s="8"/>
      <c r="K151" s="172"/>
      <c r="T151" s="8"/>
      <c r="AI151" s="8"/>
      <c r="AJ151" s="8"/>
      <c r="AK151" s="8"/>
      <c r="AL151" s="8"/>
    </row>
    <row r="152" spans="5:38" x14ac:dyDescent="0.2">
      <c r="E152" s="10"/>
      <c r="J152" s="8"/>
      <c r="K152" s="172"/>
      <c r="T152" s="8"/>
      <c r="AI152" s="8"/>
      <c r="AJ152" s="8"/>
      <c r="AK152" s="8"/>
      <c r="AL152" s="8"/>
    </row>
    <row r="153" spans="5:38" x14ac:dyDescent="0.2">
      <c r="E153" s="10"/>
      <c r="J153" s="8"/>
      <c r="K153" s="172"/>
      <c r="T153" s="8"/>
      <c r="AI153" s="8"/>
      <c r="AJ153" s="8"/>
      <c r="AK153" s="8"/>
      <c r="AL153" s="8"/>
    </row>
    <row r="154" spans="5:38" x14ac:dyDescent="0.2">
      <c r="E154" s="10"/>
      <c r="J154" s="8"/>
      <c r="K154" s="172"/>
      <c r="T154" s="8"/>
      <c r="AI154" s="8"/>
      <c r="AJ154" s="8"/>
      <c r="AK154" s="8"/>
      <c r="AL154" s="8"/>
    </row>
    <row r="155" spans="5:38" x14ac:dyDescent="0.2">
      <c r="E155" s="10"/>
      <c r="J155" s="8"/>
      <c r="K155" s="172"/>
      <c r="T155" s="8"/>
      <c r="AI155" s="8"/>
      <c r="AJ155" s="8"/>
      <c r="AK155" s="8"/>
      <c r="AL155" s="8"/>
    </row>
    <row r="156" spans="5:38" x14ac:dyDescent="0.2">
      <c r="E156" s="10"/>
      <c r="J156" s="8"/>
      <c r="K156" s="172"/>
      <c r="T156" s="8"/>
      <c r="AI156" s="8"/>
      <c r="AJ156" s="8"/>
      <c r="AK156" s="8"/>
      <c r="AL156" s="8"/>
    </row>
    <row r="157" spans="5:38" x14ac:dyDescent="0.2">
      <c r="E157" s="10"/>
      <c r="J157" s="8"/>
      <c r="K157" s="172"/>
      <c r="T157" s="8"/>
      <c r="AI157" s="8"/>
      <c r="AJ157" s="8"/>
      <c r="AK157" s="8"/>
      <c r="AL157" s="8"/>
    </row>
    <row r="158" spans="5:38" x14ac:dyDescent="0.2">
      <c r="E158" s="10"/>
      <c r="J158" s="8"/>
      <c r="K158" s="172"/>
      <c r="T158" s="8"/>
      <c r="AI158" s="8"/>
      <c r="AJ158" s="8"/>
      <c r="AK158" s="8"/>
      <c r="AL158" s="8"/>
    </row>
    <row r="159" spans="5:38" x14ac:dyDescent="0.2">
      <c r="E159" s="10"/>
      <c r="J159" s="8"/>
      <c r="K159" s="172"/>
      <c r="T159" s="8"/>
      <c r="AI159" s="8"/>
      <c r="AJ159" s="8"/>
      <c r="AK159" s="8"/>
      <c r="AL159" s="8"/>
    </row>
    <row r="160" spans="5:38" x14ac:dyDescent="0.2">
      <c r="E160" s="10"/>
      <c r="J160" s="8"/>
      <c r="K160" s="172"/>
      <c r="T160" s="8"/>
      <c r="AI160" s="8"/>
      <c r="AJ160" s="8"/>
      <c r="AK160" s="8"/>
      <c r="AL160" s="8"/>
    </row>
    <row r="161" spans="35:38" x14ac:dyDescent="0.2">
      <c r="AI161" s="8"/>
      <c r="AJ161" s="8"/>
      <c r="AK161" s="8"/>
      <c r="AL161" s="8"/>
    </row>
    <row r="162" spans="35:38" x14ac:dyDescent="0.2">
      <c r="AI162" s="8"/>
      <c r="AJ162" s="8"/>
      <c r="AK162" s="8"/>
      <c r="AL162" s="8"/>
    </row>
    <row r="163" spans="35:38" x14ac:dyDescent="0.2">
      <c r="AI163" s="8"/>
      <c r="AJ163" s="8"/>
      <c r="AK163" s="8"/>
      <c r="AL163" s="8"/>
    </row>
    <row r="164" spans="35:38" x14ac:dyDescent="0.2">
      <c r="AI164" s="8"/>
      <c r="AJ164" s="8"/>
      <c r="AK164" s="8"/>
      <c r="AL164" s="8"/>
    </row>
    <row r="165" spans="35:38" x14ac:dyDescent="0.2">
      <c r="AI165" s="8"/>
      <c r="AJ165" s="8"/>
      <c r="AK165" s="8"/>
      <c r="AL165" s="8"/>
    </row>
    <row r="166" spans="35:38" x14ac:dyDescent="0.2">
      <c r="AI166" s="8"/>
      <c r="AJ166" s="8"/>
      <c r="AK166" s="8"/>
      <c r="AL166" s="8"/>
    </row>
    <row r="167" spans="35:38" x14ac:dyDescent="0.2">
      <c r="AI167" s="8"/>
      <c r="AJ167" s="8"/>
      <c r="AK167" s="8"/>
      <c r="AL167" s="8"/>
    </row>
    <row r="168" spans="35:38" x14ac:dyDescent="0.2">
      <c r="AI168" s="8"/>
      <c r="AJ168" s="8"/>
      <c r="AK168" s="8"/>
      <c r="AL168" s="8"/>
    </row>
    <row r="169" spans="35:38" x14ac:dyDescent="0.2">
      <c r="AI169" s="8"/>
      <c r="AJ169" s="8"/>
      <c r="AK169" s="8"/>
      <c r="AL169" s="8"/>
    </row>
    <row r="170" spans="35:38" x14ac:dyDescent="0.2">
      <c r="AI170" s="8"/>
      <c r="AJ170" s="8"/>
      <c r="AK170" s="8"/>
      <c r="AL170" s="8"/>
    </row>
    <row r="171" spans="35:38" x14ac:dyDescent="0.2">
      <c r="AI171" s="8"/>
      <c r="AJ171" s="8"/>
      <c r="AK171" s="8"/>
      <c r="AL171" s="8"/>
    </row>
    <row r="172" spans="35:38" x14ac:dyDescent="0.2">
      <c r="AI172" s="8"/>
      <c r="AJ172" s="8"/>
      <c r="AK172" s="8"/>
      <c r="AL172" s="8"/>
    </row>
    <row r="173" spans="35:38" x14ac:dyDescent="0.2">
      <c r="AI173" s="8"/>
      <c r="AJ173" s="8"/>
      <c r="AK173" s="8"/>
      <c r="AL173" s="8"/>
    </row>
  </sheetData>
  <mergeCells count="20">
    <mergeCell ref="F58:G58"/>
    <mergeCell ref="F21:J21"/>
    <mergeCell ref="F4:J4"/>
    <mergeCell ref="D57:E57"/>
    <mergeCell ref="F57:J57"/>
    <mergeCell ref="D4:E4"/>
    <mergeCell ref="K57:T57"/>
    <mergeCell ref="D21:E21"/>
    <mergeCell ref="U4:V4"/>
    <mergeCell ref="N5:O5"/>
    <mergeCell ref="U21:V21"/>
    <mergeCell ref="U57:V57"/>
    <mergeCell ref="F22:G22"/>
    <mergeCell ref="K4:T4"/>
    <mergeCell ref="AE1:AF1"/>
    <mergeCell ref="K21:T21"/>
    <mergeCell ref="R5:S5"/>
    <mergeCell ref="N1:O1"/>
    <mergeCell ref="X1:Y1"/>
    <mergeCell ref="Y2:Z2"/>
  </mergeCells>
  <pageMargins left="0.23622047244094491" right="0.23622047244094491" top="0.35433070866141742" bottom="0.35433070866141742" header="0.31496062992125978" footer="0.31496062992125978"/>
  <pageSetup paperSize="9" scale="43" fitToWidth="0"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feuille juge</vt:lpstr>
      <vt:lpstr>'feuille juge'!Print_Area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SUSV - Apnoe</dc:creator>
  <cp:lastModifiedBy>SUSV - Apnoe</cp:lastModifiedBy>
  <dcterms:created xsi:type="dcterms:W3CDTF">2026-01-18T08:17:59Z</dcterms:created>
  <dcterms:modified xsi:type="dcterms:W3CDTF">2026-01-31T17:42:49Z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0x0101007177A583737C6B468B9F2EA01E3F1CCF</vt:lpwstr>
  </property>
  <property fmtid="{D5CDD505-2E9C-101B-9397-08002B2CF9AE}" pid="3" name="MediaServiceImageTags">
    <vt:lpwstr/>
  </property>
</Properties>
</file>